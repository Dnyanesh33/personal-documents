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ables/table1.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nyaneshwarKarande\Downloads\Monitor Quotations\"/>
    </mc:Choice>
  </mc:AlternateContent>
  <xr:revisionPtr revIDLastSave="0" documentId="8_{F499B27E-F9F0-4330-8820-16B5AC2FB218}" xr6:coauthVersionLast="47" xr6:coauthVersionMax="47" xr10:uidLastSave="{00000000-0000-0000-0000-000000000000}"/>
  <bookViews>
    <workbookView xWindow="-110" yWindow="-110" windowWidth="19420" windowHeight="11500" xr2:uid="{00000000-000D-0000-FFFF-FFFF00000000}"/>
  </bookViews>
  <sheets>
    <sheet name="Final Comparison" sheetId="1" r:id="rId1"/>
    <sheet name="Quote Details" sheetId="2" r:id="rId2"/>
    <sheet name="Model Decision" sheetId="3" r:id="rId3"/>
  </sheets>
  <definedNames>
    <definedName name="_xlnm.Print_Area" localSheetId="0">'Final Comparison'!$A$1:$F$11</definedName>
    <definedName name="_xlnm.Print_Area" localSheetId="1">'Quote Details'!$A$1:$N$7</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3" l="1"/>
  <c r="C21" i="3"/>
  <c r="C20" i="3"/>
  <c r="B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F7" authorId="0" shapeId="0" xr:uid="{00000000-0006-0000-0000-000001000000}">
      <text>
        <r>
          <rPr>
            <sz val="11"/>
            <color theme="1"/>
            <rFont val="Calibri"/>
            <family val="2"/>
            <scheme val="minor"/>
          </rPr>
          <t>Source: HP_KnowledgeForce IT_Monitor Quote_5Units_Final Quote.pdf (turn1search3)</t>
        </r>
      </text>
    </comment>
    <comment ref="F8" authorId="0" shapeId="0" xr:uid="{00000000-0006-0000-0000-000002000000}">
      <text>
        <r>
          <rPr>
            <sz val="11"/>
            <color theme="1"/>
            <rFont val="Calibri"/>
            <family val="2"/>
            <scheme val="minor"/>
          </rPr>
          <t>Source: GNR_Quotation_GNR_Product_Kforce company.pdf (turn1search1)</t>
        </r>
      </text>
    </comment>
    <comment ref="F9" authorId="0" shapeId="0" xr:uid="{00000000-0006-0000-0000-000003000000}">
      <text>
        <r>
          <rPr>
            <sz val="11"/>
            <color theme="1"/>
            <rFont val="Calibri"/>
            <family val="2"/>
            <scheme val="minor"/>
          </rPr>
          <t>Source: Turbonet_Commercial_Knowledgeforce IT Services India_HP Monitor_TSPL-9328_050826.pdf (turn1search4)</t>
        </r>
      </text>
    </comment>
    <comment ref="F10" authorId="0" shapeId="0" xr:uid="{00000000-0006-0000-0000-000004000000}">
      <text>
        <r>
          <rPr>
            <sz val="11"/>
            <color theme="1"/>
            <rFont val="Calibri"/>
            <family val="2"/>
            <scheme val="minor"/>
          </rPr>
          <t>Source: IT World_kforceMonitor-05-08-2026 (1).pdf (turn1search2)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C4" authorId="0" shapeId="0" xr:uid="{00000000-0006-0000-0100-000001000000}">
      <text>
        <r>
          <rPr>
            <sz val="11"/>
            <color theme="1"/>
            <rFont val="Calibri"/>
            <family val="2"/>
            <scheme val="minor"/>
          </rPr>
          <t>Source reference: turn1search3</t>
        </r>
      </text>
    </comment>
    <comment ref="C5" authorId="0" shapeId="0" xr:uid="{00000000-0006-0000-0100-000002000000}">
      <text>
        <r>
          <rPr>
            <sz val="11"/>
            <color theme="1"/>
            <rFont val="Calibri"/>
            <family val="2"/>
            <scheme val="minor"/>
          </rPr>
          <t>Source reference: turn1search1</t>
        </r>
      </text>
    </comment>
    <comment ref="C6" authorId="0" shapeId="0" xr:uid="{00000000-0006-0000-0100-000003000000}">
      <text>
        <r>
          <rPr>
            <sz val="11"/>
            <color theme="1"/>
            <rFont val="Calibri"/>
            <family val="2"/>
            <scheme val="minor"/>
          </rPr>
          <t>Source reference: turn1search4</t>
        </r>
      </text>
    </comment>
    <comment ref="C7" authorId="0" shapeId="0" xr:uid="{00000000-0006-0000-0100-000004000000}">
      <text>
        <r>
          <rPr>
            <sz val="11"/>
            <color theme="1"/>
            <rFont val="Calibri"/>
            <family val="2"/>
            <scheme val="minor"/>
          </rPr>
          <t>Source reference: turn1search2</t>
        </r>
      </text>
    </comment>
  </commentList>
</comments>
</file>

<file path=xl/sharedStrings.xml><?xml version="1.0" encoding="utf-8"?>
<sst xmlns="http://schemas.openxmlformats.org/spreadsheetml/2006/main" count="139" uniqueCount="126">
  <si>
    <t>HP Series 3 Pro 324pf Monitor — Final Vendor Comparison</t>
  </si>
  <si>
    <t>5 units comparison | HP Series 3 Pro 324pf, 23.8-inch FHD, Product No. 9U5J5UT | Amounts include GST</t>
  </si>
  <si>
    <t>Bottom line: HP India Sales Pvt. Ltd. is the lowest quoted option at ₹45,843 incl. GST, but it appears to quote a different model (324fs G2 / D5KD8AA). For the exact requested 324pf / 9U5J5UT model, GNR Solutions is the lowest quoted option at ₹51,920 incl. GST. Confirm warranty, accessories, delivery, payment and validity before releasing the PO.</t>
  </si>
  <si>
    <t>PRICE RANKING &amp; COMMERCIAL TERMS</t>
  </si>
  <si>
    <t>Rank</t>
  </si>
  <si>
    <t>Vendor</t>
  </si>
  <si>
    <t>Grand Total Incl. GST</t>
  </si>
  <si>
    <t>Difference vs Lowest</t>
  </si>
  <si>
    <t>Commercial Terms</t>
  </si>
  <si>
    <t>Assessment / Caveat</t>
  </si>
  <si>
    <t>HP India Sales Pvt. Ltd.</t>
  </si>
  <si>
    <t>3 years onsite warranty | Delivery: 1 to 2 weeks from clean PO and payment acknowledgement | Payment: 100% advance along with PO | Validity: quote expires 07-Aug-2026</t>
  </si>
  <si>
    <t>Lowest overall amount, but quoted model is HP Series 3 Pro 324fs G2 / D5KD8AA, not requested 324pf / 9U5J5UT. Keep on hold until model confirmation.</t>
  </si>
  <si>
    <t>GNR Solutions</t>
  </si>
  <si>
    <t>Warranty: not mentioned | Delivery: 1 to 2 days after confirmation / PO | Payment: Pay 100% when items are received | Validity: 2 days from quote date</t>
  </si>
  <si>
    <t>Lowest quote among vendors matching requested 324pf / 9U5J5UT. Warranty and accessories need written confirmation before releasing PO.</t>
  </si>
  <si>
    <t>Turbonet Systems Pvt. Ltd.</t>
  </si>
  <si>
    <t>3 years hardware warranty | Delivery: within 5 to 7 days from receipt of PO and payment | Payment: 100% advance against PO | Validity: valid until 12-Aug-2026; quotation validity 7 days</t>
  </si>
  <si>
    <t>Second lowest exact-model quote. Warranty is clear, but freight may be extra outside Mumbai where applicable.</t>
  </si>
  <si>
    <t>IT World India Tech Pvt. Ltd.</t>
  </si>
  <si>
    <t>Warranty: as mentioned in quotation | Delivery: 1 week after PO | Payment: 100% in advance along with PO | Validity: 08-Aug-2026</t>
  </si>
  <si>
    <t>Highest amount among exact-model quotes. Warranty wording, accessories and availability need confirmation.</t>
  </si>
  <si>
    <t>HP Series 3 Pro 324pf Monitor Quote Details - 5 Qty</t>
  </si>
  <si>
    <t>Requirement: HP Series 3 Pro 324pf Monitor, Product No. 9U5J5UT, 23.8-inch FHD, Quantity 5 units</t>
  </si>
  <si>
    <t>Quote Date</t>
  </si>
  <si>
    <t>Quote Ref / Source</t>
  </si>
  <si>
    <t>Product / Part No.</t>
  </si>
  <si>
    <t>Qty</t>
  </si>
  <si>
    <t>Unit Price Excl. GST</t>
  </si>
  <si>
    <t>GST Amount</t>
  </si>
  <si>
    <t>Warranty Details</t>
  </si>
  <si>
    <t>Delivery Timeline</t>
  </si>
  <si>
    <t>Payment Terms</t>
  </si>
  <si>
    <t>Validity / Price Hold</t>
  </si>
  <si>
    <t>Status</t>
  </si>
  <si>
    <t>Notes</t>
  </si>
  <si>
    <t>05-Aug-2026</t>
  </si>
  <si>
    <t>HP_KnowledgeForce IT_Monitor Quote_5Units_Final Quote.pdf</t>
  </si>
  <si>
    <t>HP Series 3 Pro 324fs G2, 23.8-inch FHD, D5KD8AA</t>
  </si>
  <si>
    <t>3 years onsite warranty</t>
  </si>
  <si>
    <t>1 to 2 weeks from clean PO and payment acknowledgement by HP</t>
  </si>
  <si>
    <t>100% advance along with PO</t>
  </si>
  <si>
    <t>Quote expires 07-Aug-2026</t>
  </si>
  <si>
    <t>Hold - model/part number mismatch</t>
  </si>
  <si>
    <t>Confirm exact requested model HP Series 3 Pro 324pf / 9U5J5UT before PO.</t>
  </si>
  <si>
    <t>GNR_Quotation_GNR_Product_Kforce company.pdf</t>
  </si>
  <si>
    <t>HP Series 3 Pro 324pf 23.8-inch FHD Monitor, 9U5J5UT</t>
  </si>
  <si>
    <t>Not mentioned in quotation</t>
  </si>
  <si>
    <t>1 to 2 days after confirmation / PO</t>
  </si>
  <si>
    <t>Pay 100% when items are received</t>
  </si>
  <si>
    <t>Valid 2 days from quote date</t>
  </si>
  <si>
    <t>Comparable - lowest exact-model quote</t>
  </si>
  <si>
    <t>Recommended commercially if warranty and accessories are confirmed in writing.</t>
  </si>
  <si>
    <t>Turbonet_Commercial_Knowledgeforce IT Services India_HP Monitor_TSPL-9328_050826.pdf</t>
  </si>
  <si>
    <t>HP Monitor Series 3 Pro 324pf, 23.8-inch FHD, 9U5J5UT</t>
  </si>
  <si>
    <t>3 years hardware warranty</t>
  </si>
  <si>
    <t>Within 5 to 7 days from receipt of PO and payment</t>
  </si>
  <si>
    <t>100% advance against Purchase Order</t>
  </si>
  <si>
    <t>Valid until 12-Aug-2026; quotation validity 7 days</t>
  </si>
  <si>
    <t>Comparable - backup option</t>
  </si>
  <si>
    <t>Freight at actual for outside Mumbai where applicable. Confirm final landed cost.</t>
  </si>
  <si>
    <t>IT World_kforceMonitor-05-08-2026 (1).pdf</t>
  </si>
  <si>
    <t>HP Series 3 Pro 324pf monitor, 9U5J5UT</t>
  </si>
  <si>
    <t>As mentioned in quotation</t>
  </si>
  <si>
    <t>1 week after PO</t>
  </si>
  <si>
    <t>100% in advance along with PO</t>
  </si>
  <si>
    <t>08-Aug-2026</t>
  </si>
  <si>
    <t>Comparable - costlier option</t>
  </si>
  <si>
    <t>Higher quote. Confirm warranty, accessories and availability if considered.</t>
  </si>
  <si>
    <t>EXECUTIVE RECOMMENDATION</t>
  </si>
  <si>
    <t>MODEL DIFFERENCE — MANAGER VIEW</t>
  </si>
  <si>
    <t>Comparison Point</t>
  </si>
  <si>
    <t>324fs G2
D5KD8AA</t>
  </si>
  <si>
    <t>324pf
9U5J5UT</t>
  </si>
  <si>
    <t>Manager Meaning</t>
  </si>
  <si>
    <t>Model identity</t>
  </si>
  <si>
    <t>Newer 324fs G2</t>
  </si>
  <si>
    <t>Earlier 324pf</t>
  </si>
  <si>
    <t>Display</t>
  </si>
  <si>
    <t>23.8-inch FHD IPS</t>
  </si>
  <si>
    <t>Maximum refresh rate</t>
  </si>
  <si>
    <t>120 Hz</t>
  </si>
  <si>
    <t>100 Hz</t>
  </si>
  <si>
    <t>Contrast ratio</t>
  </si>
  <si>
    <t>Brightness</t>
  </si>
  <si>
    <t>250 nits</t>
  </si>
  <si>
    <t>Ports</t>
  </si>
  <si>
    <t>HDMI + DP + VGA</t>
  </si>
  <si>
    <t>Appearance</t>
  </si>
  <si>
    <t>Black, thin bezel, simple stand</t>
  </si>
  <si>
    <t>HP warranty</t>
  </si>
  <si>
    <t>3-year limited; quote says onsite</t>
  </si>
  <si>
    <t>3-year limited; GNR quote silent</t>
  </si>
  <si>
    <t>COMMERCIAL IMPACT — LIVE FROM QUOTE DETAILS</t>
  </si>
  <si>
    <t>Metric</t>
  </si>
  <si>
    <t>324fs G2 — HP India</t>
  </si>
  <si>
    <t>324pf — GNR</t>
  </si>
  <si>
    <t>Decision impact</t>
  </si>
  <si>
    <t>Grand total incl. GST — 5 units</t>
  </si>
  <si>
    <t>Difference / saving</t>
  </si>
  <si>
    <t>Saving per monitor</t>
  </si>
  <si>
    <t>60-SECOND EXPLANATION FOR MANAGER</t>
  </si>
  <si>
    <t>DECISION</t>
  </si>
  <si>
    <t>Sources: HP India official product specifications — 324fs G2 (D5KD8AA) and 324pf (9U5J5UT). Commercial values link live to Quote Details.</t>
  </si>
  <si>
    <t>General office use | 5 monitors | Concise comparison for management approval</t>
  </si>
  <si>
    <t>Choose the HP Series 3 Pro 324fs G2 (D5KD8AA) if the exact part number 9U5J5UT is not mandatory. Both monitors are suitable for general office use; however, the 324fs G2 offers a 120 Hz refresh rate, 1500:1 contrast ratio, a lower quoted price, and a clearly stated 3-year onsite warranty from HP India. It therefore provides better overall value across performance, price, and support.</t>
  </si>
  <si>
    <t>These are different models and part numbers; substitution approval is required.</t>
  </si>
  <si>
    <t>Both are suitable for Excel, email, web browsing, and general office work.</t>
  </si>
  <si>
    <t>The 324fs G2 provides slightly smoother scrolling and screen movement.</t>
  </si>
  <si>
    <t>The 324fs G2 provides clearer separation between text and dark/light content.</t>
  </si>
  <si>
    <t>Both should perform similarly under normal indoor office lighting.</t>
  </si>
  <si>
    <t>There is no major difference for existing desktop or laptop connectivity.</t>
  </si>
  <si>
    <t>They do not look significantly different and have a similar office-monitor appearance.</t>
  </si>
  <si>
    <t>Support is clearer in the 324fs G2 quotation; obtain written confirmation before issuing the PO.</t>
  </si>
  <si>
    <t>The 324fs G2 is the lower-priced quoted option.</t>
  </si>
  <si>
    <t>Total saving across 5 monitors.</t>
  </si>
  <si>
    <t>Approximate saving per monitor.</t>
  </si>
  <si>
    <t>“The monitors will mainly be used for Excel, email, web browsing, and routine office work. Both models use FHD IPS panels, so either model is suitable for these requirements, and their appearance is also broadly similar. However, the newer 324fs G2 offers a 120 Hz refresh rate and a 1500:1 contrast ratio, includes a clearly stated 3-year onsite warranty in the HP India quotation, and costs ₹6,077 less for 5 units. Therefore, if the exact 9U5J5UT part number is not mandatory, the 324fs G2 is the better value-for-money decision.”</t>
  </si>
  <si>
    <t>WRITTEN CONFIRMATION REQUIRED BEFORE PO</t>
  </si>
  <si>
    <t>1. Confirm the exact supply model as HP Series 3 Pro 324fs G2 and part number D5KD8AA#ACJ.</t>
  </si>
  <si>
    <t>2. Obtain internal approval confirming that part number 9U5J5UT is not mandatory.</t>
  </si>
  <si>
    <t>3. Confirm the 3-year onsite warranty, quantity of 5, and final GST-inclusive price.</t>
  </si>
  <si>
    <t>4. Confirm box contents: monitor, stand, HDMI cable, power cable, and warranty documents.</t>
  </si>
  <si>
    <t>5. Obtain an updated quotation validity, stock confirmation, and committed delivery date.</t>
  </si>
  <si>
    <t>SELECT 324fs G2 (D5KD8AA) if the exact 324pf / 9U5J5UT part number is not mandatory. Otherwise, select GNR’s exact-model 324pf quotation.</t>
  </si>
  <si>
    <t>HP Monitor Model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</si>
</sst>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0" x14ac:knownFonts="1">
    <font>
      <sz val="11"/>
      <color theme="1"/>
      <name val="Calibri"/>
      <family val="2"/>
      <scheme val="minor"/>
    </font>
    <font>
      <b/>
      <sz val="11"/>
      <color rgb="FF000000"/>
      <name val="Calibri"/>
    </font>
    <font>
      <b/>
      <sz val="11"/>
      <color rgb="FFFFFFFF"/>
      <name val="Calibri"/>
      <family val="2"/>
      <scheme val="minor"/>
    </font>
    <font>
      <b/>
      <sz val="18"/>
      <color rgb="FFFFFFFF"/>
      <name val="Calibri"/>
    </font>
    <font>
      <b/>
      <sz val="18"/>
      <color rgb="FFFFFFFF"/>
      <name val="Calibri"/>
      <family val="2"/>
      <scheme val="minor"/>
    </font>
    <font>
      <i/>
      <sz val="11"/>
      <color rgb="FF555555"/>
      <name val="Calibri"/>
    </font>
    <font>
      <sz val="11"/>
      <color rgb="FF1F1F1F"/>
      <name val="Calibri"/>
      <family val="2"/>
      <scheme val="minor"/>
    </font>
    <font>
      <i/>
      <sz val="10"/>
      <color rgb="FF1F1F1F"/>
      <name val="Calibri"/>
      <family val="2"/>
      <scheme val="minor"/>
    </font>
    <font>
      <b/>
      <sz val="11"/>
      <color rgb="FF1F1F1F"/>
      <name val="Calibri"/>
      <family val="2"/>
      <scheme val="minor"/>
    </font>
    <font>
      <b/>
      <sz val="18"/>
      <color rgb="FFFFFFFF"/>
      <name val="Aptos"/>
      <family val="2"/>
    </font>
    <font>
      <i/>
      <sz val="10"/>
      <color rgb="FF666666"/>
      <name val="Aptos"/>
      <family val="2"/>
    </font>
    <font>
      <sz val="11"/>
      <color theme="1"/>
      <name val="Aptos"/>
      <family val="2"/>
    </font>
    <font>
      <b/>
      <sz val="11"/>
      <color rgb="FFFFFFFF"/>
      <name val="Aptos"/>
      <family val="2"/>
    </font>
    <font>
      <sz val="11"/>
      <color rgb="FF1F1F1F"/>
      <name val="Aptos"/>
      <family val="2"/>
    </font>
    <font>
      <b/>
      <sz val="11"/>
      <color rgb="FF17365D"/>
      <name val="Aptos"/>
      <family val="2"/>
    </font>
    <font>
      <b/>
      <sz val="11"/>
      <color theme="1"/>
      <name val="Aptos"/>
      <family val="2"/>
    </font>
    <font>
      <b/>
      <sz val="11"/>
      <color rgb="FF274E13"/>
      <name val="Aptos"/>
      <family val="2"/>
    </font>
    <font>
      <sz val="11"/>
      <color rgb="FF5F4500"/>
      <name val="Aptos"/>
      <family val="2"/>
    </font>
    <font>
      <b/>
      <sz val="12"/>
      <color rgb="FF274E13"/>
      <name val="Aptos"/>
      <family val="2"/>
    </font>
    <font>
      <i/>
      <sz val="9"/>
      <color rgb="FF777777"/>
      <name val="Aptos"/>
      <family val="2"/>
    </font>
  </fonts>
  <fills count="19">
    <fill>
      <patternFill patternType="none"/>
    </fill>
    <fill>
      <patternFill patternType="gray125"/>
    </fill>
    <fill>
      <patternFill patternType="solid">
        <fgColor rgb="FFD9EAF7"/>
      </patternFill>
    </fill>
    <fill>
      <patternFill patternType="solid">
        <fgColor rgb="FFFFF2CC"/>
      </patternFill>
    </fill>
    <fill>
      <patternFill patternType="solid">
        <fgColor rgb="FFE2F0D9"/>
      </patternFill>
    </fill>
    <fill>
      <patternFill patternType="solid">
        <fgColor rgb="FF17365D"/>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1F4E79"/>
        <bgColor indexed="64"/>
      </patternFill>
    </fill>
    <fill>
      <patternFill patternType="solid">
        <fgColor rgb="FFF3F6F9"/>
        <bgColor indexed="64"/>
      </patternFill>
    </fill>
    <fill>
      <patternFill patternType="solid">
        <fgColor rgb="FF2F5597"/>
        <bgColor indexed="64"/>
      </patternFill>
    </fill>
    <fill>
      <patternFill patternType="solid">
        <fgColor rgb="FFD9E2F3"/>
        <bgColor indexed="64"/>
      </patternFill>
    </fill>
    <fill>
      <patternFill patternType="solid">
        <fgColor rgb="FFF8F9FA"/>
        <bgColor indexed="64"/>
      </patternFill>
    </fill>
    <fill>
      <patternFill patternType="solid">
        <fgColor rgb="FFF2F2F2"/>
        <bgColor indexed="64"/>
      </patternFill>
    </fill>
    <fill>
      <patternFill patternType="solid">
        <fgColor rgb="FF2F75B5"/>
        <bgColor indexed="64"/>
      </patternFill>
    </fill>
    <fill>
      <patternFill patternType="solid">
        <fgColor rgb="FFEAF2F8"/>
        <bgColor indexed="64"/>
      </patternFill>
    </fill>
    <fill>
      <patternFill patternType="solid">
        <fgColor rgb="FFF5F8FA"/>
        <bgColor indexed="64"/>
      </patternFill>
    </fill>
    <fill>
      <patternFill patternType="solid">
        <fgColor rgb="FFD9EAD3"/>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4C6D7"/>
      </left>
      <right style="thin">
        <color rgb="FFD9E1E8"/>
      </right>
      <top style="thin">
        <color rgb="FFB4C6D7"/>
      </top>
      <bottom style="thin">
        <color rgb="FFD9E1E8"/>
      </bottom>
      <diagonal/>
    </border>
    <border>
      <left style="thin">
        <color rgb="FFD9E1E8"/>
      </left>
      <right style="thin">
        <color rgb="FFD9E1E8"/>
      </right>
      <top style="thin">
        <color rgb="FFB4C6D7"/>
      </top>
      <bottom style="thin">
        <color rgb="FFD9E1E8"/>
      </bottom>
      <diagonal/>
    </border>
    <border>
      <left style="thin">
        <color rgb="FFD9E1E8"/>
      </left>
      <right style="thin">
        <color rgb="FFB4C6D7"/>
      </right>
      <top style="thin">
        <color rgb="FFB4C6D7"/>
      </top>
      <bottom style="thin">
        <color rgb="FFD9E1E8"/>
      </bottom>
      <diagonal/>
    </border>
    <border>
      <left style="thin">
        <color rgb="FFB4C6D7"/>
      </left>
      <right style="thin">
        <color rgb="FFD9E1E8"/>
      </right>
      <top style="thin">
        <color rgb="FFD9E1E8"/>
      </top>
      <bottom style="thin">
        <color rgb="FFD9E1E8"/>
      </bottom>
      <diagonal/>
    </border>
    <border>
      <left style="thin">
        <color rgb="FFD9E1E8"/>
      </left>
      <right style="thin">
        <color rgb="FFD9E1E8"/>
      </right>
      <top style="thin">
        <color rgb="FFD9E1E8"/>
      </top>
      <bottom style="thin">
        <color rgb="FFD9E1E8"/>
      </bottom>
      <diagonal/>
    </border>
    <border>
      <left style="thin">
        <color rgb="FFD9E1E8"/>
      </left>
      <right style="thin">
        <color rgb="FFB4C6D7"/>
      </right>
      <top style="thin">
        <color rgb="FFD9E1E8"/>
      </top>
      <bottom style="thin">
        <color rgb="FFD9E1E8"/>
      </bottom>
      <diagonal/>
    </border>
    <border>
      <left style="thin">
        <color rgb="FFB4C6D7"/>
      </left>
      <right style="thin">
        <color rgb="FFD9E1E8"/>
      </right>
      <top style="thin">
        <color rgb="FFD9E1E8"/>
      </top>
      <bottom style="thin">
        <color rgb="FFB4C6D7"/>
      </bottom>
      <diagonal/>
    </border>
    <border>
      <left style="thin">
        <color rgb="FFD9E1E8"/>
      </left>
      <right style="thin">
        <color rgb="FFD9E1E8"/>
      </right>
      <top style="thin">
        <color rgb="FFD9E1E8"/>
      </top>
      <bottom style="thin">
        <color rgb="FFB4C6D7"/>
      </bottom>
      <diagonal/>
    </border>
    <border>
      <left style="thin">
        <color rgb="FFD9E1E8"/>
      </left>
      <right style="thin">
        <color rgb="FFB4C6D7"/>
      </right>
      <top style="thin">
        <color rgb="FFD9E1E8"/>
      </top>
      <bottom style="thin">
        <color rgb="FFB4C6D7"/>
      </bottom>
      <diagonal/>
    </border>
  </borders>
  <cellStyleXfs count="1">
    <xf numFmtId="0" fontId="0" fillId="0" borderId="0"/>
  </cellStyleXfs>
  <cellXfs count="75">
    <xf numFmtId="0" fontId="0" fillId="0" borderId="0" xfId="0"/>
    <xf numFmtId="0" fontId="0" fillId="0" borderId="1" xfId="0" applyBorder="1" applyAlignment="1">
      <alignment vertical="top" wrapText="1"/>
    </xf>
    <xf numFmtId="0" fontId="8" fillId="12"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7" borderId="1" xfId="0" applyFont="1" applyFill="1" applyBorder="1" applyAlignment="1">
      <alignment vertical="top" wrapText="1"/>
    </xf>
    <xf numFmtId="164" fontId="6" fillId="8" borderId="1" xfId="0" applyNumberFormat="1" applyFont="1" applyFill="1" applyBorder="1" applyAlignment="1">
      <alignment horizontal="right" vertical="top" wrapText="1"/>
    </xf>
    <xf numFmtId="0" fontId="0" fillId="13" borderId="1" xfId="0" applyFill="1" applyBorder="1" applyAlignment="1">
      <alignment horizontal="center" vertical="top" wrapText="1"/>
    </xf>
    <xf numFmtId="0" fontId="6" fillId="13" borderId="1" xfId="0" applyFont="1" applyFill="1" applyBorder="1" applyAlignment="1">
      <alignment vertical="top" wrapText="1"/>
    </xf>
    <xf numFmtId="0" fontId="0" fillId="14" borderId="1" xfId="0" applyFill="1" applyBorder="1" applyAlignment="1">
      <alignment horizontal="center" vertical="top" wrapText="1"/>
    </xf>
    <xf numFmtId="0" fontId="6" fillId="14" borderId="1" xfId="0" applyFont="1" applyFill="1" applyBorder="1" applyAlignment="1">
      <alignment vertical="top" wrapText="1"/>
    </xf>
    <xf numFmtId="0" fontId="0" fillId="0" borderId="4" xfId="0" applyBorder="1" applyAlignment="1">
      <alignment vertical="top" wrapText="1"/>
    </xf>
    <xf numFmtId="0" fontId="0" fillId="3" borderId="4" xfId="0" applyFill="1" applyBorder="1" applyAlignment="1">
      <alignment vertical="top" wrapText="1"/>
    </xf>
    <xf numFmtId="0" fontId="1" fillId="2" borderId="4" xfId="0" applyFont="1" applyFill="1" applyBorder="1" applyAlignment="1">
      <alignment horizontal="center" vertical="top" wrapText="1"/>
    </xf>
    <xf numFmtId="0" fontId="0" fillId="0" borderId="4" xfId="0" applyBorder="1"/>
    <xf numFmtId="0" fontId="0" fillId="4" borderId="5" xfId="0" applyFill="1" applyBorder="1" applyAlignment="1">
      <alignment vertical="top" wrapText="1"/>
    </xf>
    <xf numFmtId="0" fontId="1" fillId="2" borderId="6" xfId="0" applyFont="1" applyFill="1" applyBorder="1" applyAlignment="1">
      <alignment horizontal="center" vertical="top" wrapText="1"/>
    </xf>
    <xf numFmtId="0" fontId="0" fillId="4" borderId="7" xfId="0" applyFill="1" applyBorder="1" applyAlignment="1">
      <alignment vertical="top" wrapText="1"/>
    </xf>
    <xf numFmtId="0" fontId="0" fillId="0" borderId="6" xfId="0" applyBorder="1" applyAlignment="1">
      <alignment vertical="top" wrapText="1"/>
    </xf>
    <xf numFmtId="0" fontId="0" fillId="3" borderId="6" xfId="0" applyFill="1" applyBorder="1" applyAlignment="1">
      <alignment vertical="top" wrapText="1"/>
    </xf>
    <xf numFmtId="0" fontId="1" fillId="2" borderId="1" xfId="0" applyFont="1" applyFill="1" applyBorder="1" applyAlignment="1">
      <alignment horizontal="center" vertical="top" wrapText="1"/>
    </xf>
    <xf numFmtId="0" fontId="0" fillId="4" borderId="1" xfId="0" applyFill="1" applyBorder="1" applyAlignment="1">
      <alignment vertical="top" wrapText="1"/>
    </xf>
    <xf numFmtId="1" fontId="0" fillId="4" borderId="1" xfId="0" applyNumberFormat="1" applyFill="1" applyBorder="1" applyAlignment="1">
      <alignment vertical="top" wrapText="1"/>
    </xf>
    <xf numFmtId="164" fontId="0" fillId="4" borderId="1" xfId="0" applyNumberFormat="1" applyFill="1" applyBorder="1" applyAlignment="1">
      <alignment vertical="top" wrapText="1"/>
    </xf>
    <xf numFmtId="15" fontId="0" fillId="0" borderId="1" xfId="0" applyNumberFormat="1"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xf numFmtId="0" fontId="0" fillId="3" borderId="1" xfId="0" applyFill="1" applyBorder="1" applyAlignment="1">
      <alignment vertical="top" wrapText="1"/>
    </xf>
    <xf numFmtId="15" fontId="0" fillId="3" borderId="1" xfId="0" applyNumberFormat="1" applyFill="1" applyBorder="1" applyAlignment="1">
      <alignment vertical="top" wrapText="1"/>
    </xf>
    <xf numFmtId="1" fontId="0" fillId="3" borderId="1" xfId="0" applyNumberFormat="1" applyFill="1" applyBorder="1" applyAlignment="1">
      <alignment vertical="top" wrapText="1"/>
    </xf>
    <xf numFmtId="164" fontId="0" fillId="3" borderId="1" xfId="0" applyNumberFormat="1" applyFill="1" applyBorder="1" applyAlignment="1">
      <alignment vertical="top" wrapText="1"/>
    </xf>
    <xf numFmtId="0" fontId="5" fillId="6" borderId="0" xfId="0" applyFont="1" applyFill="1" applyAlignment="1">
      <alignment vertical="top" wrapText="1"/>
    </xf>
    <xf numFmtId="0" fontId="0" fillId="0" borderId="0" xfId="0"/>
    <xf numFmtId="0" fontId="3" fillId="5" borderId="0" xfId="0" applyFont="1" applyFill="1" applyAlignment="1">
      <alignment horizontal="center" vertical="top" wrapText="1"/>
    </xf>
    <xf numFmtId="0" fontId="7" fillId="6" borderId="1" xfId="0" applyFont="1" applyFill="1" applyBorder="1" applyAlignment="1">
      <alignment vertical="top" wrapText="1"/>
    </xf>
    <xf numFmtId="0" fontId="0" fillId="0" borderId="2" xfId="0" applyBorder="1"/>
    <xf numFmtId="0" fontId="0" fillId="0" borderId="3" xfId="0" applyBorder="1"/>
    <xf numFmtId="0" fontId="4" fillId="9" borderId="1" xfId="0" applyFont="1" applyFill="1" applyBorder="1" applyAlignment="1">
      <alignment vertical="top" wrapText="1"/>
    </xf>
    <xf numFmtId="0" fontId="2" fillId="11" borderId="1" xfId="0" applyFont="1" applyFill="1" applyBorder="1" applyAlignment="1">
      <alignment vertical="top" wrapText="1"/>
    </xf>
    <xf numFmtId="0" fontId="6" fillId="10" borderId="1" xfId="0" applyFont="1" applyFill="1" applyBorder="1" applyAlignment="1">
      <alignment vertical="top" wrapText="1"/>
    </xf>
    <xf numFmtId="0" fontId="9" fillId="5" borderId="0" xfId="0" applyFont="1" applyFill="1" applyAlignment="1">
      <alignment vertical="center"/>
    </xf>
    <xf numFmtId="0" fontId="10" fillId="0" borderId="0" xfId="0" applyFont="1"/>
    <xf numFmtId="0" fontId="11" fillId="0" borderId="0" xfId="0" applyFont="1"/>
    <xf numFmtId="0" fontId="12" fillId="15" borderId="0" xfId="0" applyFont="1" applyFill="1" applyAlignment="1">
      <alignment vertical="center"/>
    </xf>
    <xf numFmtId="0" fontId="13" fillId="16" borderId="0" xfId="0" applyFont="1" applyFill="1" applyAlignment="1">
      <alignment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5" fillId="0" borderId="11" xfId="0" applyFont="1" applyBorder="1" applyAlignment="1">
      <alignment vertical="center" wrapText="1"/>
    </xf>
    <xf numFmtId="0" fontId="11" fillId="0" borderId="12" xfId="0" applyFont="1" applyBorder="1" applyAlignment="1">
      <alignment horizontal="center" vertical="center" wrapText="1"/>
    </xf>
    <xf numFmtId="0" fontId="11" fillId="0" borderId="12" xfId="0" applyFont="1" applyBorder="1" applyAlignment="1">
      <alignment vertical="center" wrapText="1"/>
    </xf>
    <xf numFmtId="0" fontId="11" fillId="0" borderId="13" xfId="0" applyFont="1" applyBorder="1" applyAlignment="1">
      <alignment vertical="center" wrapText="1"/>
    </xf>
    <xf numFmtId="0" fontId="15" fillId="17" borderId="11" xfId="0" applyFont="1" applyFill="1" applyBorder="1" applyAlignment="1">
      <alignment vertical="center" wrapText="1"/>
    </xf>
    <xf numFmtId="0" fontId="11" fillId="17" borderId="12" xfId="0" applyFont="1" applyFill="1" applyBorder="1" applyAlignment="1">
      <alignment horizontal="center" vertical="center" wrapText="1"/>
    </xf>
    <xf numFmtId="0" fontId="11" fillId="17" borderId="12" xfId="0" applyFont="1" applyFill="1" applyBorder="1" applyAlignment="1">
      <alignment vertical="center" wrapText="1"/>
    </xf>
    <xf numFmtId="0" fontId="11" fillId="17" borderId="13" xfId="0" applyFont="1" applyFill="1" applyBorder="1" applyAlignment="1">
      <alignment vertical="center" wrapText="1"/>
    </xf>
    <xf numFmtId="46" fontId="11" fillId="17" borderId="12" xfId="0" applyNumberFormat="1" applyFont="1" applyFill="1" applyBorder="1" applyAlignment="1">
      <alignment horizontal="center" vertical="center" wrapText="1"/>
    </xf>
    <xf numFmtId="0" fontId="11" fillId="0" borderId="12" xfId="0" applyFont="1" applyFill="1" applyBorder="1" applyAlignment="1">
      <alignment vertical="center" wrapText="1"/>
    </xf>
    <xf numFmtId="0" fontId="11" fillId="0" borderId="13" xfId="0" applyFont="1" applyFill="1" applyBorder="1" applyAlignment="1">
      <alignment vertical="center" wrapText="1"/>
    </xf>
    <xf numFmtId="0" fontId="15" fillId="17" borderId="14" xfId="0" applyFont="1" applyFill="1" applyBorder="1" applyAlignment="1">
      <alignment vertical="center" wrapText="1"/>
    </xf>
    <xf numFmtId="0" fontId="11" fillId="17" borderId="15" xfId="0" applyFont="1" applyFill="1" applyBorder="1" applyAlignment="1">
      <alignment horizontal="center" vertical="center" wrapText="1"/>
    </xf>
    <xf numFmtId="0" fontId="11" fillId="17" borderId="15" xfId="0" applyFont="1" applyFill="1" applyBorder="1" applyAlignment="1">
      <alignment vertical="center" wrapText="1"/>
    </xf>
    <xf numFmtId="0" fontId="11" fillId="17" borderId="16" xfId="0" applyFont="1" applyFill="1" applyBorder="1" applyAlignment="1">
      <alignment vertical="center" wrapText="1"/>
    </xf>
    <xf numFmtId="0" fontId="15" fillId="0" borderId="0" xfId="0" applyFont="1"/>
    <xf numFmtId="0" fontId="16" fillId="18" borderId="1" xfId="0" applyFont="1" applyFill="1" applyBorder="1" applyAlignment="1">
      <alignment horizontal="center"/>
    </xf>
    <xf numFmtId="0" fontId="16" fillId="18" borderId="1" xfId="0" applyFont="1" applyFill="1" applyBorder="1" applyAlignment="1">
      <alignment horizontal="center"/>
    </xf>
    <xf numFmtId="0" fontId="15" fillId="0" borderId="1" xfId="0" applyFont="1" applyBorder="1" applyAlignment="1">
      <alignment vertical="center"/>
    </xf>
    <xf numFmtId="164" fontId="11" fillId="0" borderId="1" xfId="0" applyNumberFormat="1" applyFont="1" applyBorder="1" applyAlignment="1">
      <alignment horizontal="right" vertical="center"/>
    </xf>
    <xf numFmtId="0" fontId="11" fillId="0" borderId="1" xfId="0" applyFont="1" applyBorder="1" applyAlignment="1">
      <alignment vertical="center"/>
    </xf>
    <xf numFmtId="164" fontId="15" fillId="7" borderId="1" xfId="0" applyNumberFormat="1" applyFont="1" applyFill="1" applyBorder="1" applyAlignment="1">
      <alignment horizontal="right" vertical="center"/>
    </xf>
    <xf numFmtId="0" fontId="17" fillId="8" borderId="0" xfId="0" applyFont="1" applyFill="1" applyAlignment="1">
      <alignment vertical="center" wrapText="1"/>
    </xf>
    <xf numFmtId="0" fontId="11" fillId="0" borderId="0" xfId="0" applyFont="1" applyAlignment="1">
      <alignment vertical="center" wrapText="1"/>
    </xf>
    <xf numFmtId="0" fontId="11" fillId="17" borderId="0" xfId="0" applyFont="1" applyFill="1" applyAlignment="1">
      <alignment vertical="center" wrapText="1"/>
    </xf>
    <xf numFmtId="0" fontId="18" fillId="7" borderId="0" xfId="0" applyFont="1" applyFill="1" applyAlignment="1">
      <alignment vertical="center" wrapText="1"/>
    </xf>
    <xf numFmtId="0" fontId="19" fillId="0" borderId="0" xfId="0" applyFont="1" applyAlignment="1">
      <alignment wrapText="1"/>
    </xf>
  </cellXfs>
  <cellStyles count="1">
    <cellStyle name="Normal" xfId="0" builtinId="0"/>
  </cellStyles>
  <dxfs count="18">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rgb="FFD9D9D9"/>
        </bottom>
      </border>
    </dxf>
    <dxf>
      <alignment vertical="center" wrapText="1"/>
    </dxf>
    <dxf>
      <border>
        <bottom style="thin">
          <color rgb="FF000000"/>
        </bottom>
      </border>
    </dxf>
    <dxf>
      <font>
        <b/>
        <strike val="0"/>
        <condense val="0"/>
        <extend val="0"/>
        <outline val="0"/>
        <shadow val="0"/>
        <vertAlign val="baseline"/>
        <sz val="11"/>
        <color rgb="FF000000"/>
        <name val="Calibri"/>
      </font>
      <fill>
        <patternFill patternType="solid">
          <fgColor indexed="64"/>
          <bgColor rgb="FFD9EAF7"/>
        </patternFill>
      </fill>
      <alignment horizontal="center" vertical="center" wrapText="1"/>
      <border>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Grand Total by Vendor (Incl. GST)</a:t>
            </a:r>
          </a:p>
        </c:rich>
      </c:tx>
      <c:overlay val="0"/>
      <c:spPr>
        <a:noFill/>
        <a:ln>
          <a:noFill/>
          <a:prstDash val="solid"/>
        </a:ln>
      </c:spPr>
    </c:title>
    <c:autoTitleDeleted val="0"/>
    <c:plotArea>
      <c:layout/>
      <c:barChart>
        <c:barDir val="bar"/>
        <c:grouping val="clustered"/>
        <c:varyColors val="0"/>
        <c:ser>
          <c:idx val="0"/>
          <c:order val="0"/>
          <c:tx>
            <c:strRef>
              <c:f>'Final Comparison'!$C$6</c:f>
              <c:strCache>
                <c:ptCount val="1"/>
                <c:pt idx="0">
                  <c:v>Grand Total Incl. GST</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'Final Comparison'!$B$7:$B$10</c:f>
              <c:strCache>
                <c:ptCount val="4"/>
                <c:pt idx="0">
                  <c:v>HP India Sales Pvt. Ltd.</c:v>
                </c:pt>
                <c:pt idx="1">
                  <c:v>GNR Solutions</c:v>
                </c:pt>
                <c:pt idx="2">
                  <c:v>Turbonet Systems Pvt. Ltd.</c:v>
                </c:pt>
                <c:pt idx="3">
                  <c:v>IT World India Tech Pvt. Ltd.</c:v>
                </c:pt>
              </c:strCache>
            </c:strRef>
          </c:cat>
          <c:val>
            <c:numRef>
              <c:f>'Final Comparison'!$C$7:$C$10</c:f>
              <c:numCache>
                <c:formatCode>\₹#,##0.00</c:formatCode>
                <c:ptCount val="4"/>
                <c:pt idx="0">
                  <c:v>45843</c:v>
                </c:pt>
                <c:pt idx="1">
                  <c:v>51920</c:v>
                </c:pt>
                <c:pt idx="2">
                  <c:v>52805</c:v>
                </c:pt>
                <c:pt idx="3">
                  <c:v>54280</c:v>
                </c:pt>
              </c:numCache>
            </c:numRef>
          </c:val>
          <c:extLst>
            <c:ext xmlns:c16="http://schemas.microsoft.com/office/drawing/2014/chart" uri="{C3380CC4-5D6E-409C-BE32-E72D297353CC}">
              <c16:uniqueId val="{00000000-AFDF-44BE-953D-9EF67A97826D}"/>
            </c:ext>
          </c:extLst>
        </c:ser>
        <c:dLbls>
          <c:showLegendKey val="0"/>
          <c:showVal val="0"/>
          <c:showCatName val="0"/>
          <c:showSerName val="0"/>
          <c:showPercent val="0"/>
          <c:showBubbleSize val="0"/>
        </c:dLbls>
        <c:gapWidth val="182"/>
        <c:axId val="1316061192"/>
        <c:axId val="1316063240"/>
      </c:barChart>
      <c:catAx>
        <c:axId val="1316061192"/>
        <c:scaling>
          <c:orientation val="minMax"/>
        </c:scaling>
        <c:delete val="0"/>
        <c:axPos val="l"/>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Vendor</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16063240"/>
        <c:crosses val="autoZero"/>
        <c:auto val="1"/>
        <c:lblAlgn val="ctr"/>
        <c:lblOffset val="100"/>
        <c:noMultiLvlLbl val="0"/>
      </c:catAx>
      <c:valAx>
        <c:axId val="1316063240"/>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Amount (₹)</a:t>
                </a:r>
              </a:p>
            </c:rich>
          </c:tx>
          <c:overlay val="0"/>
          <c:spPr>
            <a:noFill/>
            <a:ln>
              <a:noFill/>
              <a:prstDash val="solid"/>
            </a:ln>
          </c:spPr>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16061192"/>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0</xdr:colOff>
      <xdr:row>26</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oteDetailsTable" displayName="QuoteDetailsTable" ref="A3:N7" totalsRowShown="0" headerRowDxfId="17" dataDxfId="15" headerRowBorderDxfId="16" tableBorderDxfId="14">
  <autoFilter ref="A3:N7" xr:uid="{00000000-0009-0000-0100-000001000000}"/>
  <tableColumns count="14">
    <tableColumn id="1" xr3:uid="{00000000-0010-0000-0000-000001000000}" name="Vendor" dataDxfId="13"/>
    <tableColumn id="2" xr3:uid="{00000000-0010-0000-0000-000002000000}" name="Quote Date" dataDxfId="12"/>
    <tableColumn id="3" xr3:uid="{00000000-0010-0000-0000-000003000000}" name="Quote Ref / Source" dataDxfId="11"/>
    <tableColumn id="4" xr3:uid="{00000000-0010-0000-0000-000004000000}" name="Product / Part No." dataDxfId="10"/>
    <tableColumn id="5" xr3:uid="{00000000-0010-0000-0000-000005000000}" name="Qty" dataDxfId="9"/>
    <tableColumn id="6" xr3:uid="{00000000-0010-0000-0000-000006000000}" name="Unit Price Excl. GST" dataDxfId="8"/>
    <tableColumn id="7" xr3:uid="{00000000-0010-0000-0000-000007000000}" name="GST Amount" dataDxfId="7">
      <calculatedColumnFormula>F4*18%</calculatedColumnFormula>
    </tableColumn>
    <tableColumn id="8" xr3:uid="{00000000-0010-0000-0000-000008000000}" name="Grand Total Incl. GST" dataDxfId="6">
      <calculatedColumnFormula>IF(A4="RH Communication",ROUND(F4+G4,0),F4+G4)</calculatedColumnFormula>
    </tableColumn>
    <tableColumn id="9" xr3:uid="{00000000-0010-0000-0000-000009000000}" name="Warranty Details" dataDxfId="5"/>
    <tableColumn id="10" xr3:uid="{00000000-0010-0000-0000-00000A000000}" name="Delivery Timeline" dataDxfId="4"/>
    <tableColumn id="11" xr3:uid="{00000000-0010-0000-0000-00000B000000}" name="Payment Terms" dataDxfId="3"/>
    <tableColumn id="12" xr3:uid="{00000000-0010-0000-0000-00000C000000}" name="Validity / Price Hold" dataDxfId="2"/>
    <tableColumn id="13" xr3:uid="{00000000-0010-0000-0000-00000D000000}" name="Status" dataDxfId="1"/>
    <tableColumn id="14" xr3:uid="{00000000-0010-0000-0000-00000E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1"/>
  <sheetViews>
    <sheetView showGridLines="0" tabSelected="1" workbookViewId="0">
      <pane ySplit="5" topLeftCell="A6" activePane="bottomLeft" state="frozen"/>
      <selection pane="bottomLeft" activeCell="E8" sqref="E8"/>
    </sheetView>
  </sheetViews>
  <sheetFormatPr defaultRowHeight="14.5" x14ac:dyDescent="0.35"/>
  <cols>
    <col min="1" max="1" width="5.1796875" bestFit="1" customWidth="1"/>
    <col min="2" max="2" width="24.81640625" bestFit="1" customWidth="1"/>
    <col min="3" max="3" width="19.1796875" bestFit="1" customWidth="1"/>
    <col min="4" max="4" width="19" bestFit="1" customWidth="1"/>
    <col min="5" max="5" width="37.453125" bestFit="1" customWidth="1"/>
    <col min="6" max="6" width="37.54296875" bestFit="1" customWidth="1"/>
  </cols>
  <sheetData>
    <row r="1" spans="1:6" ht="28" customHeight="1" x14ac:dyDescent="0.35">
      <c r="A1" s="36" t="s">
        <v>0</v>
      </c>
      <c r="B1" s="34"/>
      <c r="C1" s="34"/>
      <c r="D1" s="34"/>
      <c r="E1" s="34"/>
      <c r="F1" s="35"/>
    </row>
    <row r="2" spans="1:6" ht="32.15" customHeight="1" x14ac:dyDescent="0.35">
      <c r="A2" s="33" t="s">
        <v>1</v>
      </c>
      <c r="B2" s="34"/>
      <c r="C2" s="34"/>
      <c r="D2" s="34"/>
      <c r="E2" s="34"/>
      <c r="F2" s="35"/>
    </row>
    <row r="3" spans="1:6" ht="56.15" customHeight="1" x14ac:dyDescent="0.35">
      <c r="A3" s="38" t="s">
        <v>2</v>
      </c>
      <c r="B3" s="34"/>
      <c r="C3" s="34"/>
      <c r="D3" s="34"/>
      <c r="E3" s="34"/>
      <c r="F3" s="35"/>
    </row>
    <row r="4" spans="1:6" x14ac:dyDescent="0.35">
      <c r="A4" s="1"/>
      <c r="B4" s="1"/>
      <c r="C4" s="1"/>
      <c r="D4" s="1"/>
      <c r="E4" s="1"/>
      <c r="F4" s="1"/>
    </row>
    <row r="5" spans="1:6" x14ac:dyDescent="0.35">
      <c r="A5" s="37" t="s">
        <v>3</v>
      </c>
      <c r="B5" s="34"/>
      <c r="C5" s="34"/>
      <c r="D5" s="34"/>
      <c r="E5" s="34"/>
      <c r="F5" s="35"/>
    </row>
    <row r="6" spans="1:6" ht="30.75" customHeight="1" x14ac:dyDescent="0.35">
      <c r="A6" s="2" t="s">
        <v>4</v>
      </c>
      <c r="B6" s="2" t="s">
        <v>5</v>
      </c>
      <c r="C6" s="2" t="s">
        <v>6</v>
      </c>
      <c r="D6" s="2" t="s">
        <v>7</v>
      </c>
      <c r="E6" s="2" t="s">
        <v>8</v>
      </c>
      <c r="F6" s="2" t="s">
        <v>9</v>
      </c>
    </row>
    <row r="7" spans="1:6" ht="78" customHeight="1" x14ac:dyDescent="0.35">
      <c r="A7" s="3">
        <v>1</v>
      </c>
      <c r="B7" s="4" t="s">
        <v>10</v>
      </c>
      <c r="C7" s="5">
        <v>45843</v>
      </c>
      <c r="D7" s="5">
        <v>0</v>
      </c>
      <c r="E7" s="4" t="s">
        <v>11</v>
      </c>
      <c r="F7" s="4" t="s">
        <v>12</v>
      </c>
    </row>
    <row r="8" spans="1:6" ht="66.75" customHeight="1" x14ac:dyDescent="0.35">
      <c r="A8" s="6">
        <v>2</v>
      </c>
      <c r="B8" s="7" t="s">
        <v>13</v>
      </c>
      <c r="C8" s="5">
        <v>51920</v>
      </c>
      <c r="D8" s="5">
        <v>6077</v>
      </c>
      <c r="E8" s="7" t="s">
        <v>14</v>
      </c>
      <c r="F8" s="7" t="s">
        <v>15</v>
      </c>
    </row>
    <row r="9" spans="1:6" ht="76.5" customHeight="1" x14ac:dyDescent="0.35">
      <c r="A9" s="8">
        <v>3</v>
      </c>
      <c r="B9" s="9" t="s">
        <v>16</v>
      </c>
      <c r="C9" s="5">
        <v>52805</v>
      </c>
      <c r="D9" s="5">
        <v>6962</v>
      </c>
      <c r="E9" s="9" t="s">
        <v>17</v>
      </c>
      <c r="F9" s="9" t="s">
        <v>18</v>
      </c>
    </row>
    <row r="10" spans="1:6" ht="66.75" customHeight="1" x14ac:dyDescent="0.35">
      <c r="A10" s="6">
        <v>4</v>
      </c>
      <c r="B10" s="7" t="s">
        <v>19</v>
      </c>
      <c r="C10" s="5">
        <v>54280</v>
      </c>
      <c r="D10" s="5">
        <v>8437</v>
      </c>
      <c r="E10" s="7" t="s">
        <v>20</v>
      </c>
      <c r="F10" s="7" t="s">
        <v>21</v>
      </c>
    </row>
    <row r="11" spans="1:6" x14ac:dyDescent="0.35">
      <c r="A11" s="1"/>
      <c r="B11" s="1"/>
      <c r="C11" s="1"/>
      <c r="D11" s="1"/>
      <c r="E11" s="1"/>
      <c r="F11" s="1"/>
    </row>
  </sheetData>
  <mergeCells count="4">
    <mergeCell ref="A2:F2"/>
    <mergeCell ref="A1:F1"/>
    <mergeCell ref="A5:F5"/>
    <mergeCell ref="A3:F3"/>
  </mergeCells>
  <conditionalFormatting sqref="D7:D10">
    <cfRule type="colorScale" priority="1">
      <colorScale>
        <cfvo type="min"/>
        <cfvo type="percent" val="50"/>
        <cfvo type="max"/>
        <color rgb="FFC6EFCE"/>
        <color rgb="FFFFEB9C"/>
        <color rgb="FFFFC7CE"/>
      </colorScale>
    </cfRule>
  </conditionalFormatting>
  <printOptions horizontalCentered="1" verticalCentered="1" gridLinesSet="0"/>
  <pageMargins left="3.472222222222222E-3" right="3.472222222222222E-3" top="4.1666666666666666E-3" bottom="4.1666666666666666E-3" header="2.0833333333333333E-3" footer="2.0833333333333333E-3"/>
  <pageSetup paperSize="9" firstPageNumber="0" orientation="landscape" horizontalDpi="0" verticalDpi="0" copies="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3"/>
  <sheetViews>
    <sheetView showGridLines="0" workbookViewId="0">
      <pane ySplit="3" topLeftCell="A4" activePane="bottomLeft" state="frozen"/>
      <selection pane="bottomLeft" activeCell="D4" sqref="D4:D7"/>
    </sheetView>
  </sheetViews>
  <sheetFormatPr defaultRowHeight="14.5" x14ac:dyDescent="0.35"/>
  <cols>
    <col min="1" max="1" width="20.1796875" customWidth="1"/>
    <col min="2" max="2" width="17.1796875" hidden="1" customWidth="1"/>
    <col min="3" max="3" width="34.26953125" hidden="1" customWidth="1"/>
    <col min="4" max="4" width="22.453125" customWidth="1"/>
    <col min="5" max="5" width="6.453125" customWidth="1"/>
    <col min="6" max="6" width="11.7265625" bestFit="1" customWidth="1"/>
    <col min="7" max="7" width="14.453125" customWidth="1"/>
    <col min="8" max="8" width="14.81640625" customWidth="1"/>
    <col min="9" max="9" width="22" customWidth="1"/>
    <col min="10" max="10" width="21" customWidth="1"/>
    <col min="11" max="12" width="29.54296875" customWidth="1"/>
    <col min="13" max="13" width="21" customWidth="1"/>
    <col min="14" max="14" width="38.1796875" customWidth="1"/>
  </cols>
  <sheetData>
    <row r="1" spans="1:14" ht="28" customHeight="1" x14ac:dyDescent="0.35">
      <c r="A1" s="32" t="s">
        <v>22</v>
      </c>
      <c r="B1" s="31"/>
      <c r="C1" s="31"/>
      <c r="D1" s="31"/>
      <c r="E1" s="31"/>
      <c r="F1" s="31"/>
      <c r="G1" s="31"/>
      <c r="H1" s="31"/>
      <c r="I1" s="31"/>
      <c r="J1" s="31"/>
      <c r="K1" s="31"/>
      <c r="L1" s="31"/>
      <c r="M1" s="31"/>
      <c r="N1" s="31"/>
    </row>
    <row r="2" spans="1:14" ht="32.15" customHeight="1" x14ac:dyDescent="0.35">
      <c r="A2" s="30" t="s">
        <v>23</v>
      </c>
      <c r="B2" s="31"/>
      <c r="C2" s="31"/>
      <c r="D2" s="31"/>
      <c r="E2" s="31"/>
      <c r="F2" s="31"/>
      <c r="G2" s="31"/>
      <c r="H2" s="31"/>
      <c r="I2" s="31"/>
      <c r="J2" s="31"/>
      <c r="K2" s="31"/>
      <c r="L2" s="31"/>
      <c r="M2" s="31"/>
      <c r="N2" s="31"/>
    </row>
    <row r="3" spans="1:14" s="13" customFormat="1" ht="42" customHeight="1" x14ac:dyDescent="0.35">
      <c r="A3" s="19" t="s">
        <v>5</v>
      </c>
      <c r="B3" s="19" t="s">
        <v>24</v>
      </c>
      <c r="C3" s="19" t="s">
        <v>25</v>
      </c>
      <c r="D3" s="19" t="s">
        <v>26</v>
      </c>
      <c r="E3" s="19" t="s">
        <v>27</v>
      </c>
      <c r="F3" s="19" t="s">
        <v>28</v>
      </c>
      <c r="G3" s="19" t="s">
        <v>29</v>
      </c>
      <c r="H3" s="19" t="s">
        <v>6</v>
      </c>
      <c r="I3" s="19" t="s">
        <v>30</v>
      </c>
      <c r="J3" s="19" t="s">
        <v>31</v>
      </c>
      <c r="K3" s="19" t="s">
        <v>32</v>
      </c>
      <c r="L3" s="15" t="s">
        <v>33</v>
      </c>
      <c r="M3" s="12" t="s">
        <v>34</v>
      </c>
      <c r="N3" s="12" t="s">
        <v>35</v>
      </c>
    </row>
    <row r="4" spans="1:14" ht="67.5" customHeight="1" x14ac:dyDescent="0.35">
      <c r="A4" s="20" t="s">
        <v>10</v>
      </c>
      <c r="B4" s="20" t="s">
        <v>36</v>
      </c>
      <c r="C4" s="20" t="s">
        <v>37</v>
      </c>
      <c r="D4" s="20" t="s">
        <v>38</v>
      </c>
      <c r="E4" s="21">
        <v>5</v>
      </c>
      <c r="F4" s="22">
        <v>7770</v>
      </c>
      <c r="G4" s="22">
        <v>6993</v>
      </c>
      <c r="H4" s="22">
        <v>45843</v>
      </c>
      <c r="I4" s="20" t="s">
        <v>39</v>
      </c>
      <c r="J4" s="20" t="s">
        <v>40</v>
      </c>
      <c r="K4" s="20" t="s">
        <v>41</v>
      </c>
      <c r="L4" s="16" t="s">
        <v>42</v>
      </c>
      <c r="M4" s="14" t="s">
        <v>43</v>
      </c>
      <c r="N4" s="14" t="s">
        <v>44</v>
      </c>
    </row>
    <row r="5" spans="1:14" ht="60" customHeight="1" x14ac:dyDescent="0.35">
      <c r="A5" s="1" t="s">
        <v>13</v>
      </c>
      <c r="B5" s="23" t="s">
        <v>36</v>
      </c>
      <c r="C5" s="1" t="s">
        <v>45</v>
      </c>
      <c r="D5" s="1" t="s">
        <v>46</v>
      </c>
      <c r="E5" s="24">
        <v>5</v>
      </c>
      <c r="F5" s="25">
        <v>8800</v>
      </c>
      <c r="G5" s="25">
        <v>7920</v>
      </c>
      <c r="H5" s="25">
        <v>51920</v>
      </c>
      <c r="I5" s="1" t="s">
        <v>47</v>
      </c>
      <c r="J5" s="1" t="s">
        <v>48</v>
      </c>
      <c r="K5" s="1" t="s">
        <v>49</v>
      </c>
      <c r="L5" s="17" t="s">
        <v>50</v>
      </c>
      <c r="M5" s="10" t="s">
        <v>51</v>
      </c>
      <c r="N5" s="10" t="s">
        <v>52</v>
      </c>
    </row>
    <row r="6" spans="1:14" ht="65" customHeight="1" x14ac:dyDescent="0.35">
      <c r="A6" s="26" t="s">
        <v>16</v>
      </c>
      <c r="B6" s="27" t="s">
        <v>36</v>
      </c>
      <c r="C6" s="26" t="s">
        <v>53</v>
      </c>
      <c r="D6" s="26" t="s">
        <v>54</v>
      </c>
      <c r="E6" s="28">
        <v>5</v>
      </c>
      <c r="F6" s="29">
        <v>8950</v>
      </c>
      <c r="G6" s="29">
        <v>8055</v>
      </c>
      <c r="H6" s="29">
        <v>52805</v>
      </c>
      <c r="I6" s="26" t="s">
        <v>55</v>
      </c>
      <c r="J6" s="26" t="s">
        <v>56</v>
      </c>
      <c r="K6" s="26" t="s">
        <v>57</v>
      </c>
      <c r="L6" s="18" t="s">
        <v>58</v>
      </c>
      <c r="M6" s="11" t="s">
        <v>59</v>
      </c>
      <c r="N6" s="11" t="s">
        <v>60</v>
      </c>
    </row>
    <row r="7" spans="1:14" ht="54.5" customHeight="1" x14ac:dyDescent="0.35">
      <c r="A7" s="26" t="s">
        <v>19</v>
      </c>
      <c r="B7" s="27" t="s">
        <v>36</v>
      </c>
      <c r="C7" s="26" t="s">
        <v>61</v>
      </c>
      <c r="D7" s="26" t="s">
        <v>62</v>
      </c>
      <c r="E7" s="28">
        <v>5</v>
      </c>
      <c r="F7" s="29">
        <v>9200</v>
      </c>
      <c r="G7" s="29">
        <v>8280</v>
      </c>
      <c r="H7" s="29">
        <v>54280</v>
      </c>
      <c r="I7" s="26" t="s">
        <v>63</v>
      </c>
      <c r="J7" s="26" t="s">
        <v>64</v>
      </c>
      <c r="K7" s="26" t="s">
        <v>65</v>
      </c>
      <c r="L7" s="18" t="s">
        <v>66</v>
      </c>
      <c r="M7" s="11" t="s">
        <v>67</v>
      </c>
      <c r="N7" s="11" t="s">
        <v>68</v>
      </c>
    </row>
    <row r="8" spans="1:14" ht="30" customHeight="1" x14ac:dyDescent="0.35"/>
    <row r="9" spans="1:14" ht="30" customHeight="1" x14ac:dyDescent="0.35"/>
    <row r="10" spans="1:14" ht="30" customHeight="1" x14ac:dyDescent="0.35"/>
    <row r="11" spans="1:14" ht="30" customHeight="1" x14ac:dyDescent="0.35"/>
    <row r="12" spans="1:14" ht="30" customHeight="1" x14ac:dyDescent="0.35"/>
    <row r="13" spans="1:14" ht="30" customHeight="1" x14ac:dyDescent="0.35"/>
  </sheetData>
  <mergeCells count="2">
    <mergeCell ref="A2:N2"/>
    <mergeCell ref="A1:N1"/>
  </mergeCells>
  <printOptions horizontalCentered="1" verticalCentered="1" gridLinesSet="0"/>
  <pageMargins left="3.472222222222222E-3" right="3.472222222222222E-3" top="4.1666666666666666E-3" bottom="4.1666666666666666E-3" header="2.0833333333333333E-3" footer="2.0833333333333333E-3"/>
  <pageSetup paperSize="9" scale="58" firstPageNumber="0" orientation="landscape"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6BCE-982B-48A2-A0BC-F51AA195FDB8}">
  <dimension ref="A1:H37"/>
  <sheetViews>
    <sheetView showGridLines="0" workbookViewId="0">
      <selection activeCell="C41" sqref="C41"/>
    </sheetView>
  </sheetViews>
  <sheetFormatPr defaultRowHeight="14.5" x14ac:dyDescent="0.35"/>
  <cols>
    <col min="1" max="1" width="22.7265625" customWidth="1"/>
    <col min="2" max="3" width="19.08984375" customWidth="1"/>
    <col min="4" max="8" width="13.08984375" customWidth="1"/>
  </cols>
  <sheetData>
    <row r="1" spans="1:8" ht="32" customHeight="1" x14ac:dyDescent="0.35">
      <c r="A1" s="39" t="s">
        <v>125</v>
      </c>
      <c r="B1" s="39"/>
      <c r="C1" s="39"/>
      <c r="D1" s="39"/>
      <c r="E1" s="39"/>
      <c r="F1" s="39"/>
      <c r="G1" s="39"/>
      <c r="H1" s="39"/>
    </row>
    <row r="2" spans="1:8" ht="22" customHeight="1" x14ac:dyDescent="0.35">
      <c r="A2" s="40" t="s">
        <v>104</v>
      </c>
      <c r="B2" s="40"/>
      <c r="C2" s="40"/>
      <c r="D2" s="40"/>
      <c r="E2" s="40"/>
      <c r="F2" s="40"/>
      <c r="G2" s="40"/>
      <c r="H2" s="40"/>
    </row>
    <row r="3" spans="1:8" x14ac:dyDescent="0.35">
      <c r="A3" s="41"/>
      <c r="B3" s="41"/>
      <c r="C3" s="41"/>
      <c r="D3" s="41"/>
      <c r="E3" s="41"/>
      <c r="F3" s="41"/>
      <c r="G3" s="41"/>
      <c r="H3" s="41"/>
    </row>
    <row r="4" spans="1:8" ht="22" customHeight="1" x14ac:dyDescent="0.35">
      <c r="A4" s="42" t="s">
        <v>69</v>
      </c>
      <c r="B4" s="42"/>
      <c r="C4" s="42"/>
      <c r="D4" s="42"/>
      <c r="E4" s="42"/>
      <c r="F4" s="42"/>
      <c r="G4" s="42"/>
      <c r="H4" s="42"/>
    </row>
    <row r="5" spans="1:8" ht="66" customHeight="1" x14ac:dyDescent="0.35">
      <c r="A5" s="43" t="s">
        <v>105</v>
      </c>
      <c r="B5" s="43"/>
      <c r="C5" s="43"/>
      <c r="D5" s="43"/>
      <c r="E5" s="43"/>
      <c r="F5" s="43"/>
      <c r="G5" s="43"/>
      <c r="H5" s="43"/>
    </row>
    <row r="6" spans="1:8" x14ac:dyDescent="0.35">
      <c r="A6" s="41"/>
      <c r="B6" s="41"/>
      <c r="C6" s="41"/>
      <c r="D6" s="41"/>
      <c r="E6" s="41"/>
      <c r="F6" s="41"/>
      <c r="G6" s="41"/>
      <c r="H6" s="41"/>
    </row>
    <row r="7" spans="1:8" ht="22" customHeight="1" x14ac:dyDescent="0.35">
      <c r="A7" s="42" t="s">
        <v>70</v>
      </c>
      <c r="B7" s="42"/>
      <c r="C7" s="42"/>
      <c r="D7" s="42"/>
      <c r="E7" s="42"/>
      <c r="F7" s="42"/>
      <c r="G7" s="42"/>
      <c r="H7" s="42"/>
    </row>
    <row r="8" spans="1:8" ht="32" customHeight="1" x14ac:dyDescent="0.35">
      <c r="A8" s="44" t="s">
        <v>71</v>
      </c>
      <c r="B8" s="45" t="s">
        <v>72</v>
      </c>
      <c r="C8" s="45" t="s">
        <v>73</v>
      </c>
      <c r="D8" s="46" t="s">
        <v>74</v>
      </c>
      <c r="E8" s="46"/>
      <c r="F8" s="46"/>
      <c r="G8" s="46"/>
      <c r="H8" s="47"/>
    </row>
    <row r="9" spans="1:8" ht="32" customHeight="1" x14ac:dyDescent="0.35">
      <c r="A9" s="48" t="s">
        <v>75</v>
      </c>
      <c r="B9" s="49" t="s">
        <v>76</v>
      </c>
      <c r="C9" s="49" t="s">
        <v>77</v>
      </c>
      <c r="D9" s="50" t="s">
        <v>106</v>
      </c>
      <c r="E9" s="50"/>
      <c r="F9" s="50"/>
      <c r="G9" s="50"/>
      <c r="H9" s="51"/>
    </row>
    <row r="10" spans="1:8" ht="32" customHeight="1" x14ac:dyDescent="0.35">
      <c r="A10" s="52" t="s">
        <v>78</v>
      </c>
      <c r="B10" s="53" t="s">
        <v>79</v>
      </c>
      <c r="C10" s="53" t="s">
        <v>79</v>
      </c>
      <c r="D10" s="54" t="s">
        <v>107</v>
      </c>
      <c r="E10" s="54"/>
      <c r="F10" s="54"/>
      <c r="G10" s="54"/>
      <c r="H10" s="55"/>
    </row>
    <row r="11" spans="1:8" ht="32" customHeight="1" x14ac:dyDescent="0.35">
      <c r="A11" s="48" t="s">
        <v>80</v>
      </c>
      <c r="B11" s="49" t="s">
        <v>81</v>
      </c>
      <c r="C11" s="49" t="s">
        <v>82</v>
      </c>
      <c r="D11" s="50" t="s">
        <v>108</v>
      </c>
      <c r="E11" s="50"/>
      <c r="F11" s="50"/>
      <c r="G11" s="50"/>
      <c r="H11" s="51"/>
    </row>
    <row r="12" spans="1:8" ht="32" customHeight="1" x14ac:dyDescent="0.35">
      <c r="A12" s="52" t="s">
        <v>83</v>
      </c>
      <c r="B12" s="56">
        <v>62.500694444444441</v>
      </c>
      <c r="C12" s="56">
        <v>41.667361111111113</v>
      </c>
      <c r="D12" s="54" t="s">
        <v>109</v>
      </c>
      <c r="E12" s="54"/>
      <c r="F12" s="54"/>
      <c r="G12" s="54"/>
      <c r="H12" s="55"/>
    </row>
    <row r="13" spans="1:8" ht="32" customHeight="1" x14ac:dyDescent="0.35">
      <c r="A13" s="48" t="s">
        <v>84</v>
      </c>
      <c r="B13" s="49" t="s">
        <v>85</v>
      </c>
      <c r="C13" s="49" t="s">
        <v>85</v>
      </c>
      <c r="D13" s="50" t="s">
        <v>110</v>
      </c>
      <c r="E13" s="50"/>
      <c r="F13" s="50"/>
      <c r="G13" s="50"/>
      <c r="H13" s="51"/>
    </row>
    <row r="14" spans="1:8" ht="32" customHeight="1" x14ac:dyDescent="0.35">
      <c r="A14" s="52" t="s">
        <v>86</v>
      </c>
      <c r="B14" s="53" t="s">
        <v>87</v>
      </c>
      <c r="C14" s="53" t="s">
        <v>87</v>
      </c>
      <c r="D14" s="54" t="s">
        <v>111</v>
      </c>
      <c r="E14" s="54"/>
      <c r="F14" s="54"/>
      <c r="G14" s="54"/>
      <c r="H14" s="55"/>
    </row>
    <row r="15" spans="1:8" ht="32" customHeight="1" x14ac:dyDescent="0.35">
      <c r="A15" s="48" t="s">
        <v>88</v>
      </c>
      <c r="B15" s="49" t="s">
        <v>89</v>
      </c>
      <c r="C15" s="49" t="s">
        <v>89</v>
      </c>
      <c r="D15" s="57" t="s">
        <v>112</v>
      </c>
      <c r="E15" s="57"/>
      <c r="F15" s="57"/>
      <c r="G15" s="57"/>
      <c r="H15" s="58"/>
    </row>
    <row r="16" spans="1:8" ht="32" customHeight="1" x14ac:dyDescent="0.35">
      <c r="A16" s="59" t="s">
        <v>90</v>
      </c>
      <c r="B16" s="60" t="s">
        <v>91</v>
      </c>
      <c r="C16" s="60" t="s">
        <v>92</v>
      </c>
      <c r="D16" s="61" t="s">
        <v>113</v>
      </c>
      <c r="E16" s="61"/>
      <c r="F16" s="61"/>
      <c r="G16" s="61"/>
      <c r="H16" s="62"/>
    </row>
    <row r="17" spans="1:8" x14ac:dyDescent="0.35">
      <c r="A17" s="63"/>
      <c r="B17" s="41"/>
      <c r="C17" s="41"/>
      <c r="D17" s="41"/>
      <c r="E17" s="41"/>
      <c r="F17" s="41"/>
      <c r="G17" s="41"/>
      <c r="H17" s="41"/>
    </row>
    <row r="18" spans="1:8" ht="22" customHeight="1" x14ac:dyDescent="0.35">
      <c r="A18" s="42" t="s">
        <v>93</v>
      </c>
      <c r="B18" s="42"/>
      <c r="C18" s="42"/>
      <c r="D18" s="42"/>
      <c r="E18" s="42"/>
      <c r="F18" s="42"/>
      <c r="G18" s="42"/>
      <c r="H18" s="42"/>
    </row>
    <row r="19" spans="1:8" ht="24" customHeight="1" x14ac:dyDescent="0.35">
      <c r="A19" s="64" t="s">
        <v>94</v>
      </c>
      <c r="B19" s="64" t="s">
        <v>95</v>
      </c>
      <c r="C19" s="64" t="s">
        <v>96</v>
      </c>
      <c r="D19" s="65" t="s">
        <v>97</v>
      </c>
      <c r="E19" s="65"/>
      <c r="F19" s="65"/>
      <c r="G19" s="65"/>
      <c r="H19" s="65"/>
    </row>
    <row r="20" spans="1:8" ht="24" customHeight="1" x14ac:dyDescent="0.35">
      <c r="A20" s="66" t="s">
        <v>98</v>
      </c>
      <c r="B20" s="67">
        <f>'Quote Details'!H4</f>
        <v>45843</v>
      </c>
      <c r="C20" s="67">
        <f>'Quote Details'!H5</f>
        <v>51920</v>
      </c>
      <c r="D20" s="68" t="s">
        <v>114</v>
      </c>
      <c r="E20" s="68"/>
      <c r="F20" s="68"/>
      <c r="G20" s="68"/>
      <c r="H20" s="68"/>
    </row>
    <row r="21" spans="1:8" ht="24" customHeight="1" x14ac:dyDescent="0.35">
      <c r="A21" s="66" t="s">
        <v>99</v>
      </c>
      <c r="B21" s="67">
        <v>0</v>
      </c>
      <c r="C21" s="69">
        <f>'Quote Details'!H5-'Quote Details'!H4</f>
        <v>6077</v>
      </c>
      <c r="D21" s="68" t="s">
        <v>115</v>
      </c>
      <c r="E21" s="68"/>
      <c r="F21" s="68"/>
      <c r="G21" s="68"/>
      <c r="H21" s="68"/>
    </row>
    <row r="22" spans="1:8" ht="24" customHeight="1" x14ac:dyDescent="0.35">
      <c r="A22" s="66" t="s">
        <v>100</v>
      </c>
      <c r="B22" s="67">
        <v>0</v>
      </c>
      <c r="C22" s="69">
        <f>('Quote Details'!H5-'Quote Details'!H4)/'Quote Details'!E4</f>
        <v>1215.4000000000001</v>
      </c>
      <c r="D22" s="68" t="s">
        <v>116</v>
      </c>
      <c r="E22" s="68"/>
      <c r="F22" s="68"/>
      <c r="G22" s="68"/>
      <c r="H22" s="68"/>
    </row>
    <row r="23" spans="1:8" x14ac:dyDescent="0.35">
      <c r="A23" s="41"/>
      <c r="B23" s="41"/>
      <c r="C23" s="41"/>
      <c r="D23" s="41"/>
      <c r="E23" s="41"/>
      <c r="F23" s="41"/>
      <c r="G23" s="41"/>
      <c r="H23" s="41"/>
    </row>
    <row r="24" spans="1:8" ht="22" customHeight="1" x14ac:dyDescent="0.35">
      <c r="A24" s="42" t="s">
        <v>101</v>
      </c>
      <c r="B24" s="42"/>
      <c r="C24" s="42"/>
      <c r="D24" s="42"/>
      <c r="E24" s="42"/>
      <c r="F24" s="42"/>
      <c r="G24" s="42"/>
      <c r="H24" s="42"/>
    </row>
    <row r="25" spans="1:8" ht="66" customHeight="1" x14ac:dyDescent="0.35">
      <c r="A25" s="70" t="s">
        <v>117</v>
      </c>
      <c r="B25" s="70"/>
      <c r="C25" s="70"/>
      <c r="D25" s="70"/>
      <c r="E25" s="70"/>
      <c r="F25" s="70"/>
      <c r="G25" s="70"/>
      <c r="H25" s="70"/>
    </row>
    <row r="26" spans="1:8" x14ac:dyDescent="0.35">
      <c r="A26" s="41"/>
      <c r="B26" s="41"/>
      <c r="C26" s="41"/>
      <c r="D26" s="41"/>
      <c r="E26" s="41"/>
      <c r="F26" s="41"/>
      <c r="G26" s="41"/>
      <c r="H26" s="41"/>
    </row>
    <row r="27" spans="1:8" ht="22" customHeight="1" x14ac:dyDescent="0.35">
      <c r="A27" s="42" t="s">
        <v>118</v>
      </c>
      <c r="B27" s="42"/>
      <c r="C27" s="42"/>
      <c r="D27" s="42"/>
      <c r="E27" s="42"/>
      <c r="F27" s="42"/>
      <c r="G27" s="42"/>
      <c r="H27" s="42"/>
    </row>
    <row r="28" spans="1:8" x14ac:dyDescent="0.35">
      <c r="A28" s="71" t="s">
        <v>119</v>
      </c>
      <c r="B28" s="71"/>
      <c r="C28" s="71"/>
      <c r="D28" s="71"/>
      <c r="E28" s="71"/>
      <c r="F28" s="71"/>
      <c r="G28" s="71"/>
      <c r="H28" s="71"/>
    </row>
    <row r="29" spans="1:8" x14ac:dyDescent="0.35">
      <c r="A29" s="72" t="s">
        <v>120</v>
      </c>
      <c r="B29" s="72"/>
      <c r="C29" s="72"/>
      <c r="D29" s="72"/>
      <c r="E29" s="72"/>
      <c r="F29" s="72"/>
      <c r="G29" s="72"/>
      <c r="H29" s="72"/>
    </row>
    <row r="30" spans="1:8" x14ac:dyDescent="0.35">
      <c r="A30" s="71" t="s">
        <v>121</v>
      </c>
      <c r="B30" s="71"/>
      <c r="C30" s="71"/>
      <c r="D30" s="71"/>
      <c r="E30" s="71"/>
      <c r="F30" s="71"/>
      <c r="G30" s="71"/>
      <c r="H30" s="71"/>
    </row>
    <row r="31" spans="1:8" x14ac:dyDescent="0.35">
      <c r="A31" s="72" t="s">
        <v>122</v>
      </c>
      <c r="B31" s="72"/>
      <c r="C31" s="72"/>
      <c r="D31" s="72"/>
      <c r="E31" s="72"/>
      <c r="F31" s="72"/>
      <c r="G31" s="72"/>
      <c r="H31" s="72"/>
    </row>
    <row r="32" spans="1:8" x14ac:dyDescent="0.35">
      <c r="A32" s="71" t="s">
        <v>123</v>
      </c>
      <c r="B32" s="71"/>
      <c r="C32" s="71"/>
      <c r="D32" s="71"/>
      <c r="E32" s="71"/>
      <c r="F32" s="71"/>
      <c r="G32" s="71"/>
      <c r="H32" s="71"/>
    </row>
    <row r="33" spans="1:8" x14ac:dyDescent="0.35">
      <c r="A33" s="41"/>
      <c r="B33" s="41"/>
      <c r="C33" s="41"/>
      <c r="D33" s="41"/>
      <c r="E33" s="41"/>
      <c r="F33" s="41"/>
      <c r="G33" s="41"/>
      <c r="H33" s="41"/>
    </row>
    <row r="34" spans="1:8" ht="22" customHeight="1" x14ac:dyDescent="0.35">
      <c r="A34" s="42" t="s">
        <v>102</v>
      </c>
      <c r="B34" s="42"/>
      <c r="C34" s="42"/>
      <c r="D34" s="42"/>
      <c r="E34" s="42"/>
      <c r="F34" s="42"/>
      <c r="G34" s="42"/>
      <c r="H34" s="42"/>
    </row>
    <row r="35" spans="1:8" ht="38" customHeight="1" x14ac:dyDescent="0.35">
      <c r="A35" s="73" t="s">
        <v>124</v>
      </c>
      <c r="B35" s="73"/>
      <c r="C35" s="73"/>
      <c r="D35" s="73"/>
      <c r="E35" s="73"/>
      <c r="F35" s="73"/>
      <c r="G35" s="73"/>
      <c r="H35" s="73"/>
    </row>
    <row r="36" spans="1:8" x14ac:dyDescent="0.35">
      <c r="A36" s="41"/>
      <c r="B36" s="41"/>
      <c r="C36" s="41"/>
      <c r="D36" s="41"/>
      <c r="E36" s="41"/>
      <c r="F36" s="41"/>
      <c r="G36" s="41"/>
      <c r="H36" s="41"/>
    </row>
    <row r="37" spans="1:8" ht="28" customHeight="1" x14ac:dyDescent="0.35">
      <c r="A37" s="74" t="s">
        <v>103</v>
      </c>
      <c r="B37" s="74"/>
      <c r="C37" s="74"/>
      <c r="D37" s="74"/>
      <c r="E37" s="74"/>
      <c r="F37" s="74"/>
      <c r="G37" s="74"/>
      <c r="H37" s="74"/>
    </row>
  </sheetData>
  <mergeCells count="30">
    <mergeCell ref="A30:H30"/>
    <mergeCell ref="A31:H31"/>
    <mergeCell ref="A32:H32"/>
    <mergeCell ref="A34:H34"/>
    <mergeCell ref="A35:H35"/>
    <mergeCell ref="A37:H37"/>
    <mergeCell ref="D22:H22"/>
    <mergeCell ref="A24:H24"/>
    <mergeCell ref="A25:H25"/>
    <mergeCell ref="A27:H27"/>
    <mergeCell ref="A28:H28"/>
    <mergeCell ref="A29:H29"/>
    <mergeCell ref="D15:H15"/>
    <mergeCell ref="D16:H16"/>
    <mergeCell ref="A18:H18"/>
    <mergeCell ref="D19:H19"/>
    <mergeCell ref="D20:H20"/>
    <mergeCell ref="D21:H21"/>
    <mergeCell ref="D9:H9"/>
    <mergeCell ref="D10:H10"/>
    <mergeCell ref="D11:H11"/>
    <mergeCell ref="D12:H12"/>
    <mergeCell ref="D13:H13"/>
    <mergeCell ref="D14:H14"/>
    <mergeCell ref="A1:H1"/>
    <mergeCell ref="A2:H2"/>
    <mergeCell ref="A4:H4"/>
    <mergeCell ref="A5:H5"/>
    <mergeCell ref="A7:H7"/>
    <mergeCell ref="D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Final Comparison</vt:lpstr>
      <vt:lpstr>Quote Details</vt:lpstr>
      <vt:lpstr>Model Decision</vt:lpstr>
      <vt:lpstr>'Final Comparison'!Print_Area</vt:lpstr>
      <vt:lpstr>'Quote Details'!Print_Area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Dnyaneshwar Karande</dc:creator>
  <cp:keywords/>
  <dc:description/>
  <cp:lastModifiedBy>Dnyaneshwar Karande</cp:lastModifiedBy>
  <cp:revision/>
  <cp:lastPrinted>2026-08-06T13:03:24Z</cp:lastPrinted>
  <dcterms:created xsi:type="dcterms:W3CDTF">2026-08-06T12:27:11Z</dcterms:created>
  <dcterms:modified xsi:type="dcterms:W3CDTF">2026-08-07T16:57:30Z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2026-08-05T09:56:31Z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dd72a2d2-8ec1-4f74-9b3a-e66f079e7fd4</vt:lpwstr>
  </property>
  <property fmtid="{D5CDD505-2E9C-101B-9397-08002B2CF9AE}" pid="7" name="MSIP_Label_defa4170-0d19-0005-0004-bc88714345d2_ActionId">
    <vt:lpwstr>e27da968-e9dc-4363-ac67-da61b32762a1</vt:lpwstr>
  </property>
  <property fmtid="{D5CDD505-2E9C-101B-9397-08002B2CF9AE}" pid="8" name="MSIP_Label_defa4170-0d19-0005-0004-bc88714345d2_ContentBits">
    <vt:lpwstr>0</vt:lpwstr>
  </property>
</Properties>
</file>