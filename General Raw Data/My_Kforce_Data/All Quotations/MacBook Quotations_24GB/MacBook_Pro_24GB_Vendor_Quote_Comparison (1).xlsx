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kforceinternational-my.sharepoint.com/personal/dnyaneshwar_karande_kforce_co_in/Documents/Documents/All Quotations/MacBook Quotations_24GB/"/>
    </mc:Choice>
  </mc:AlternateContent>
  <xr:revisionPtr revIDLastSave="0" documentId="8_{C406F00C-2D2F-4EE9-A276-5AFD6770628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inal Comparison" sheetId="1" r:id="rId1"/>
    <sheet name="Quote Details" sheetId="2" r:id="rId2"/>
    <sheet name="Compliance Matrix" sheetId="3" r:id="rId3"/>
    <sheet name="Decision &amp; Follow-up" sheetId="4" r:id="rId4"/>
  </sheets>
  <definedNames>
    <definedName name="_xlnm._FilterDatabase" localSheetId="2" hidden="1">'Compliance Matrix'!$A$5:$L$15</definedName>
    <definedName name="_xlnm._FilterDatabase" localSheetId="3" hidden="1">'Decision &amp; Follow-up'!$A$5:$J$11</definedName>
    <definedName name="_xlnm._FilterDatabase" localSheetId="0" hidden="1">'Final Comparison'!$A$5:$H$9</definedName>
    <definedName name="_xlnm._FilterDatabase" localSheetId="1" hidden="1">'Quote Details'!$A$5:$N$9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9" i="1" l="1"/>
  <c r="D9" i="1"/>
  <c r="A9" i="1"/>
  <c r="E8" i="1"/>
  <c r="D8" i="1"/>
  <c r="A8" i="1"/>
  <c r="E7" i="1"/>
  <c r="D7" i="1"/>
  <c r="A7" i="1"/>
  <c r="E6" i="1"/>
  <c r="D6" i="1"/>
  <c r="A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365 Copilot</author>
  </authors>
  <commentList>
    <comment ref="A6" authorId="0" shapeId="0" xr:uid="{00000000-0006-0000-0100-000001000000}">
      <text>
        <r>
          <rPr>
            <sz val="10"/>
            <rFont val="Arial"/>
            <family val="2"/>
          </rPr>
          <t>Source: Attached RH quotation</t>
        </r>
      </text>
    </comment>
    <comment ref="A7" authorId="0" shapeId="0" xr:uid="{00000000-0006-0000-0100-000002000000}">
      <text>
        <r>
          <rPr>
            <sz val="10"/>
            <rFont val="Arial"/>
            <family val="2"/>
          </rPr>
          <t>Source: Attached Conquer quotation</t>
        </r>
      </text>
    </comment>
    <comment ref="A8" authorId="0" shapeId="0" xr:uid="{00000000-0006-0000-0100-000003000000}">
      <text>
        <r>
          <rPr>
            <sz val="10"/>
            <rFont val="Arial"/>
            <family val="2"/>
          </rPr>
          <t>Source: Attached GNR quotation</t>
        </r>
      </text>
    </comment>
    <comment ref="A9" authorId="0" shapeId="0" xr:uid="{00000000-0006-0000-0100-000004000000}">
      <text>
        <r>
          <rPr>
            <sz val="10"/>
            <rFont val="Arial"/>
            <family val="2"/>
          </rPr>
          <t>Source: Attached Turbonet quotation</t>
        </r>
      </text>
    </comment>
  </commentList>
</comments>
</file>

<file path=xl/sharedStrings.xml><?xml version="1.0" encoding="utf-8"?>
<sst xmlns="http://schemas.openxmlformats.org/spreadsheetml/2006/main" count="244" uniqueCount="164">
  <si>
    <t>MacBook Pro 16-inch, 24GB | Final Vendor Comparison</t>
  </si>
  <si>
    <t>1 unit | M5 Pro 18-core CPU / 20-core GPU | 24GB Unified Memory | 1TB SSD | Amounts include GST</t>
  </si>
  <si>
    <t>Decision note: Every attached quotation is now outside its stated validity period. Obtain a refreshed quotation and stock confirmation before PO.</t>
  </si>
  <si>
    <t>Price Rank</t>
  </si>
  <si>
    <t>Vendor</t>
  </si>
  <si>
    <t>Grand Total Incl. GST</t>
  </si>
  <si>
    <t>Difference vs Lowest</t>
  </si>
  <si>
    <t>Unit Total Incl. GST</t>
  </si>
  <si>
    <t>Commercial Terms</t>
  </si>
  <si>
    <t>Specification / Scope</t>
  </si>
  <si>
    <t>Assessment / Caveat</t>
  </si>
  <si>
    <t>RH Communication</t>
  </si>
  <si>
    <t>OEM warranty; no onsite service/repair | Delivery: 8 working days from PO and payment | Payment: 100% advance | Validity: 5 days from 14-Aug-2026</t>
  </si>
  <si>
    <t>MGEA4HN/A | Space Black | Freight extra at actual</t>
  </si>
  <si>
    <t>Lowest quoted total, but transport is extra and after-sales service is chargeable. Written landed cost and renewed validity required.</t>
  </si>
  <si>
    <t>Conquer Technologies LLP</t>
  </si>
  <si>
    <t>1-year warranty | Delivery: 1-2 weeks | Payment: Immediate / 100% advance | Validity: 1 week from 13-Aug-2026</t>
  </si>
  <si>
    <t>1PMGE44HN/A | Silver | Freight: NA</t>
  </si>
  <si>
    <t>Second-lowest at ₹2,010 above RH. Freight marked NA; stock and price remain subject to OEM availability/policy.</t>
  </si>
  <si>
    <t>GNR Solution Pvt. Ltd.</t>
  </si>
  <si>
    <t>1-year warranty | Delivery: 1 week from PO | Payment: 30 days | Validity: 7 days from 13-Aug-2026</t>
  </si>
  <si>
    <t>MGEA4HN/A | Space Black | Freight at actual outside Pune</t>
  </si>
  <si>
    <t>Best payment terms. ₹5,609 above RH; confirm Pune freight as nil, stock and refreshed validity.</t>
  </si>
  <si>
    <t>Turbonet Systems Pvt. Ltd.</t>
  </si>
  <si>
    <t>1-year warranty | Delivery: 10-15 days after PO and payment | Payment: 100% advance | Validity: 2 days from 13-Aug-2026</t>
  </si>
  <si>
    <t>Part number not stated | Space Black / Silver | Freight at actual outside Mumbai</t>
  </si>
  <si>
    <t>Highest quoted total, ₹27,922.80 above RH. Exact part number, freight and renewed validity need confirmation.</t>
  </si>
  <si>
    <t>RECOMMENDATION</t>
  </si>
  <si>
    <t>Primary price option: RH Communication is lowest at ₹321,900.00 including GST. Before selection, obtain the final freight amount, refreshed validity, stock confirmation and written confirmation that the exact MGEA4HN/A configuration will be supplied. RH states OEM warranty, no onsite service/repair and chargeable after-sales service.
Balanced commercial option: Conquer is only ₹2,010.00 higher and marks freight as NA. Confirm that item number 1PMGE44HN/A is the correct OEM SKU and that Silver colour is acceptable.
Credit-term option: GNR is ₹5,609.00 higher than RH but offers 30-day payment and one-week delivery. If cash-flow and Pune support are important, GNR may provide the best commercial balance after confirming freight as nil and renewed validity.</t>
  </si>
  <si>
    <t>MacBook Pro 16-inch, 24GB | Quote Details</t>
  </si>
  <si>
    <t>Requirement: M5 Pro, 18-core CPU, 20-core GPU, 24GB Unified Memory, 1TB SSD, 1-year warranty</t>
  </si>
  <si>
    <t>Quote Date</t>
  </si>
  <si>
    <t>Quote Ref / File</t>
  </si>
  <si>
    <t>Product / OEM Part No.</t>
  </si>
  <si>
    <t>Colour</t>
  </si>
  <si>
    <t>Qty</t>
  </si>
  <si>
    <t>Unit Price Excl. GST</t>
  </si>
  <si>
    <t>GST Amount</t>
  </si>
  <si>
    <t>Warranty</t>
  </si>
  <si>
    <t>Delivery</t>
  </si>
  <si>
    <t>Payment / Validity</t>
  </si>
  <si>
    <t>Freight</t>
  </si>
  <si>
    <t>Notes</t>
  </si>
  <si>
    <t>RH_Estimate_RHEST1455_14_08_26.pdf | RHEST1455</t>
  </si>
  <si>
    <t>MacBook Pro M5 Pro | MGEA4HN/A</t>
  </si>
  <si>
    <t>Space Black</t>
  </si>
  <si>
    <t>OEM norms; no onsite service/repair</t>
  </si>
  <si>
    <t>8 working days from PO and payment</t>
  </si>
  <si>
    <t>100% advance | Valid 5 days</t>
  </si>
  <si>
    <t>Extra at actual</t>
  </si>
  <si>
    <t>After-sales service chargeable; physical damage excluded as stated.</t>
  </si>
  <si>
    <t>Conquer_Kforce Quote - 13th Aug.pdf | CONQ-MUM-SQ013327</t>
  </si>
  <si>
    <t>MacBook Pro M5 Pro | 1PMGE44HN/A</t>
  </si>
  <si>
    <t>Silver</t>
  </si>
  <si>
    <t>1 year</t>
  </si>
  <si>
    <t>1-2 weeks</t>
  </si>
  <si>
    <t>Immediate / 100% advance | Valid 1 week</t>
  </si>
  <si>
    <t>NA</t>
  </si>
  <si>
    <t>Stock subject to OEM availability; prices subject to OEM policy changes.</t>
  </si>
  <si>
    <t>GNR_Quote_KForce_Macbook.pdf</t>
  </si>
  <si>
    <t>1 week from PO</t>
  </si>
  <si>
    <t>30 days | Valid 7 days</t>
  </si>
  <si>
    <t>At actual outside Pune</t>
  </si>
  <si>
    <t>Confirm final Pune freight and stock.</t>
  </si>
  <si>
    <t>Turbonet_Commercial...TSPL-9437_130826.pdf | TSPL-9437</t>
  </si>
  <si>
    <t>MacBook Pro M5 Pro | Part number not stated</t>
  </si>
  <si>
    <t>Space Black / Silver</t>
  </si>
  <si>
    <t>10-15 days from PO and payment</t>
  </si>
  <si>
    <t>100% advance | Valid until 15-Aug-2026</t>
  </si>
  <si>
    <t>At actual outside Mumbai</t>
  </si>
  <si>
    <t>Confirm exact OEM part number, colour, freight and stock.</t>
  </si>
  <si>
    <t>Requirement Compliance Matrix</t>
  </si>
  <si>
    <t>Based strictly on the four attached quotations</t>
  </si>
  <si>
    <t>Requirement</t>
  </si>
  <si>
    <t>Conquer</t>
  </si>
  <si>
    <t>GNR</t>
  </si>
  <si>
    <t>Turbonet</t>
  </si>
  <si>
    <t>Decision Impact</t>
  </si>
  <si>
    <t>Required Follow-up</t>
  </si>
  <si>
    <t>Owner</t>
  </si>
  <si>
    <t>Status</t>
  </si>
  <si>
    <t>Due Date</t>
  </si>
  <si>
    <t>Final Confirmation</t>
  </si>
  <si>
    <t>Evidence / Notes</t>
  </si>
  <si>
    <t>16-inch MacBook Pro, M5 Pro 18 CPU / 20 GPU</t>
  </si>
  <si>
    <t>Explicit</t>
  </si>
  <si>
    <t>Comparable core model</t>
  </si>
  <si>
    <t>Confirm latest OEM datasheet with selected vendor</t>
  </si>
  <si>
    <t>Dnyaneshwar</t>
  </si>
  <si>
    <t>Open</t>
  </si>
  <si>
    <t>24GB Unified Memory / 1TB SSD</t>
  </si>
  <si>
    <t>Comparable</t>
  </si>
  <si>
    <t>Exact OEM part number</t>
  </si>
  <si>
    <t>MGEA4HN/A</t>
  </si>
  <si>
    <t>1PMGE44HN/A</t>
  </si>
  <si>
    <t>Not stated</t>
  </si>
  <si>
    <t>Critical like-to-like check</t>
  </si>
  <si>
    <t>Confirm Conquer SKU prefix and obtain Turbonet SKU</t>
  </si>
  <si>
    <t>Required colour</t>
  </si>
  <si>
    <t>Conquer colour differs</t>
  </si>
  <si>
    <t>Confirm acceptable colour before PO</t>
  </si>
  <si>
    <t>1-year warranty</t>
  </si>
  <si>
    <t>OEM norms</t>
  </si>
  <si>
    <t>RH service scope differs</t>
  </si>
  <si>
    <t>Confirm warranty registration and service route</t>
  </si>
  <si>
    <t>8 working days</t>
  </si>
  <si>
    <t>1 week</t>
  </si>
  <si>
    <t>10-15 days</t>
  </si>
  <si>
    <t>Affects requirement date</t>
  </si>
  <si>
    <t>Reconfirm delivery against current stock</t>
  </si>
  <si>
    <t>Payment</t>
  </si>
  <si>
    <t>100% advance</t>
  </si>
  <si>
    <t>Immediate / 100% advance</t>
  </si>
  <si>
    <t>30 days</t>
  </si>
  <si>
    <t>GNR has strongest credit term</t>
  </si>
  <si>
    <t>Confirm approved payment arrangement</t>
  </si>
  <si>
    <t>Freight / landed cost</t>
  </si>
  <si>
    <t>Actual outside Pune</t>
  </si>
  <si>
    <t>Actual outside Mumbai</t>
  </si>
  <si>
    <t>Can change final ranking</t>
  </si>
  <si>
    <t>Obtain final freight amount for Pune</t>
  </si>
  <si>
    <t>Stock availability</t>
  </si>
  <si>
    <t>Not specified</t>
  </si>
  <si>
    <t>Subject to OEM availability</t>
  </si>
  <si>
    <t>Supply risk</t>
  </si>
  <si>
    <t>Obtain written stock confirmation</t>
  </si>
  <si>
    <t>Validity as of 24-Aug-2026</t>
  </si>
  <si>
    <t>Expired</t>
  </si>
  <si>
    <t>Cannot use current quote for PO</t>
  </si>
  <si>
    <t>Request refreshed quote from shortlisted vendors</t>
  </si>
  <si>
    <t>Decision &amp; Follow-up Tracker</t>
  </si>
  <si>
    <t>Close pricing and scope gaps before vendor selection</t>
  </si>
  <si>
    <t>Priority</t>
  </si>
  <si>
    <t>Action Required</t>
  </si>
  <si>
    <t>Why It Matters</t>
  </si>
  <si>
    <t>Current Evidence</t>
  </si>
  <si>
    <t>Target Date</t>
  </si>
  <si>
    <t>Vendor Response</t>
  </si>
  <si>
    <t>Decision Gate</t>
  </si>
  <si>
    <t>P1</t>
  </si>
  <si>
    <t>Issue refreshed quote with final freight / landed cost and stock confirmation</t>
  </si>
  <si>
    <t>Determines whether RH remains lowest</t>
  </si>
  <si>
    <t>Freight extra at actual; validity expired</t>
  </si>
  <si>
    <t>Required before selection</t>
  </si>
  <si>
    <t>Confirm exact OEM SKU 1PMGE44HN/A, stock, refreshed validity and Silver acceptance</t>
  </si>
  <si>
    <t>SKU/colour must match approved requirement</t>
  </si>
  <si>
    <t>Quote lists Silver and stock subject to OEM availability</t>
  </si>
  <si>
    <t>Issue refreshed quote and confirm freight is nil for Pune delivery plus stock availability</t>
  </si>
  <si>
    <t>GNR offers 30-day payment and could be balanced option</t>
  </si>
  <si>
    <t>Freight applies outside Pune; stock not stated</t>
  </si>
  <si>
    <t>All shortlisted</t>
  </si>
  <si>
    <t>Reconfirm final price, GST, delivery and validity in writing</t>
  </si>
  <si>
    <t>All quotes expired</t>
  </si>
  <si>
    <t>Validity periods ended before 24-Aug-2026</t>
  </si>
  <si>
    <t>Required before PO</t>
  </si>
  <si>
    <t>P2</t>
  </si>
  <si>
    <t>Confirm OEM warranty registration and support escalation route</t>
  </si>
  <si>
    <t>Quote says no onsite service / repair</t>
  </si>
  <si>
    <t>After-sales support is chargeable</t>
  </si>
  <si>
    <t>Required if RH selected</t>
  </si>
  <si>
    <t>Confirm OEM part number, exact colour, final Pune freight and stock</t>
  </si>
  <si>
    <t>Current quote lacks exact SKU</t>
  </si>
  <si>
    <t>Part number not stated</t>
  </si>
  <si>
    <t>Required if Turbonet shortlisted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</si>
</sst>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.00;[Red]&quot;(₹&quot;#,##0.00\);\-"/>
    <numFmt numFmtId="165" formatCode="dd\-mmm\-yyyy"/>
  </numFmts>
  <fonts count="11" x14ac:knownFonts="1">
    <font>
      <sz val="11"/>
      <color theme="1"/>
      <name val="Calibri"/>
      <family val="2"/>
      <charset val="1"/>
    </font>
    <font>
      <b/>
      <sz val="15"/>
      <color rgb="FFFFFFFF"/>
      <name val="Aptos"/>
      <charset val="1"/>
    </font>
    <font>
      <sz val="10"/>
      <color rgb="FF555555"/>
      <name val="Aptos"/>
      <charset val="1"/>
    </font>
    <font>
      <b/>
      <sz val="11"/>
      <color rgb="FF9C6500"/>
      <name val="Aptos"/>
      <charset val="1"/>
    </font>
    <font>
      <b/>
      <sz val="10"/>
      <color rgb="FFFFFFFF"/>
      <name val="Aptos"/>
      <charset val="1"/>
    </font>
    <font>
      <sz val="10"/>
      <color rgb="FF000000"/>
      <name val="Aptos"/>
      <charset val="1"/>
    </font>
    <font>
      <sz val="10"/>
      <color rgb="FF008000"/>
      <name val="Aptos"/>
      <charset val="1"/>
    </font>
    <font>
      <b/>
      <sz val="11"/>
      <color rgb="FFFFFFFF"/>
      <name val="Aptos"/>
      <charset val="1"/>
    </font>
    <font>
      <sz val="11"/>
      <name val="Aptos"/>
      <charset val="1"/>
    </font>
    <font>
      <sz val="10"/>
      <name val="Arial"/>
      <family val="2"/>
    </font>
    <font>
      <sz val="10"/>
      <name val="Aptos"/>
      <charset val="1"/>
    </font>
  </fonts>
  <fills count="8">
    <fill>
      <patternFill patternType="none"/>
    </fill>
    <fill>
      <patternFill patternType="gray125"/>
    </fill>
    <fill>
      <patternFill patternType="solid">
        <fgColor rgb="FF17365D"/>
        <bgColor rgb="FF333399"/>
      </patternFill>
    </fill>
    <fill>
      <patternFill patternType="solid">
        <fgColor rgb="FFFFF2CC"/>
        <bgColor rgb="FFF9F9F9"/>
      </patternFill>
    </fill>
    <fill>
      <patternFill patternType="solid">
        <fgColor rgb="FF0F6B78"/>
        <bgColor rgb="FF008080"/>
      </patternFill>
    </fill>
    <fill>
      <patternFill patternType="solid">
        <fgColor rgb="FFD9EAF7"/>
        <bgColor rgb="FFE2F0D9"/>
      </patternFill>
    </fill>
    <fill>
      <patternFill patternType="solid">
        <fgColor rgb="FFE2F0D9"/>
        <bgColor rgb="FFD9EAF7"/>
      </patternFill>
    </fill>
    <fill>
      <patternFill patternType="solid">
        <fgColor rgb="FFF4CCCC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164" fontId="6" fillId="0" borderId="0" xfId="0" applyNumberFormat="1" applyFont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165" fontId="6" fillId="0" borderId="0" xfId="0" applyNumberFormat="1" applyFont="1" applyAlignment="1">
      <alignment vertical="top" wrapText="1"/>
    </xf>
    <xf numFmtId="0" fontId="10" fillId="0" borderId="0" xfId="0" applyFont="1" applyAlignment="1">
      <alignment vertical="top" wrapText="1"/>
    </xf>
    <xf numFmtId="0" fontId="10" fillId="6" borderId="0" xfId="0" applyFont="1" applyFill="1" applyAlignment="1">
      <alignment vertical="top" wrapText="1"/>
    </xf>
    <xf numFmtId="0" fontId="10" fillId="7" borderId="0" xfId="0" applyFont="1" applyFill="1" applyAlignment="1">
      <alignment vertical="top" wrapText="1"/>
    </xf>
    <xf numFmtId="0" fontId="10" fillId="3" borderId="0" xfId="0" applyFont="1" applyFill="1" applyAlignment="1">
      <alignment vertical="top" wrapText="1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wrapText="1"/>
    </xf>
    <xf numFmtId="0" fontId="7" fillId="4" borderId="0" xfId="0" applyFont="1" applyFill="1"/>
    <xf numFmtId="0" fontId="8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0F6B78"/>
      <rgbColor rgb="FFC0C0C0"/>
      <rgbColor rgb="FF878787"/>
      <rgbColor rgb="FF9999FF"/>
      <rgbColor rgb="FF993366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E2F0D9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Grand Total Incl. GST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'Final Comparison'!$C$5</c:f>
              <c:strCache>
                <c:ptCount val="1"/>
                <c:pt idx="0">
                  <c:v>Grand Total Incl. GST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'Final Comparison'!$B$6:$B$9</c:f>
              <c:strCache>
                <c:ptCount val="4"/>
                <c:pt idx="0">
                  <c:v>RH Communication</c:v>
                </c:pt>
                <c:pt idx="1">
                  <c:v>Conquer Technologies LLP</c:v>
                </c:pt>
                <c:pt idx="2">
                  <c:v>GNR Solution Pvt. Ltd.</c:v>
                </c:pt>
                <c:pt idx="3">
                  <c:v>Turbonet Systems Pvt. Ltd.</c:v>
                </c:pt>
              </c:strCache>
            </c:strRef>
          </c:cat>
          <c:val>
            <c:numRef>
              <c:f>'Final Comparison'!$C$6:$C$9</c:f>
              <c:numCache>
                <c:formatCode>\₹#,##0.00;[Red]"(₹"#,##0.00\);\-</c:formatCode>
                <c:ptCount val="4"/>
                <c:pt idx="0">
                  <c:v>321900</c:v>
                </c:pt>
                <c:pt idx="1">
                  <c:v>323910</c:v>
                </c:pt>
                <c:pt idx="2">
                  <c:v>327509</c:v>
                </c:pt>
                <c:pt idx="3">
                  <c:v>349822.8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0B-4686-937D-438EFAF8F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13980"/>
        <c:axId val="27114559"/>
      </c:barChart>
      <c:catAx>
        <c:axId val="1411398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INR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7114559"/>
        <c:crosses val="autoZero"/>
        <c:auto val="1"/>
        <c:lblAlgn val="ctr"/>
        <c:lblOffset val="100"/>
        <c:noMultiLvlLbl val="0"/>
      </c:catAx>
      <c:valAx>
        <c:axId val="2711455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Vendor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.00;[Red]&quot;(₹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411398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3</xdr:col>
      <xdr:colOff>669600</xdr:colOff>
      <xdr:row>29</xdr:row>
      <xdr:rowOff>43200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5"/>
  <sheetViews>
    <sheetView showGridLines="0" tabSelected="1" zoomScale="85" zoomScaleNormal="85" workbookViewId="0">
      <pane ySplit="5" topLeftCell="A6" activePane="bottomLeft" state="frozen"/>
      <selection pane="bottomLeft" activeCell="F8" sqref="F8"/>
    </sheetView>
  </sheetViews>
  <sheetFormatPr defaultColWidth="8.7265625" defaultRowHeight="14.5" x14ac:dyDescent="0.35"/>
  <cols>
    <col min="1" max="1" width="12" customWidth="1"/>
    <col min="2" max="2" width="29" customWidth="1"/>
    <col min="3" max="4" width="21" customWidth="1"/>
    <col min="5" max="5" width="20" customWidth="1"/>
    <col min="6" max="6" width="40" customWidth="1"/>
    <col min="7" max="7" width="38" customWidth="1"/>
    <col min="8" max="8" width="49" customWidth="1"/>
  </cols>
  <sheetData>
    <row r="1" spans="1:8" ht="27.75" customHeight="1" x14ac:dyDescent="0.45">
      <c r="A1" s="11" t="s">
        <v>0</v>
      </c>
      <c r="B1" s="11"/>
      <c r="C1" s="11"/>
      <c r="D1" s="11"/>
      <c r="E1" s="11"/>
      <c r="F1" s="11"/>
      <c r="G1" s="11"/>
      <c r="H1" s="11"/>
    </row>
    <row r="2" spans="1:8" x14ac:dyDescent="0.35">
      <c r="A2" s="12" t="s">
        <v>1</v>
      </c>
      <c r="B2" s="12"/>
      <c r="C2" s="12"/>
      <c r="D2" s="12"/>
      <c r="E2" s="12"/>
      <c r="F2" s="12"/>
      <c r="G2" s="12"/>
      <c r="H2" s="12"/>
    </row>
    <row r="3" spans="1:8" ht="31.5" customHeight="1" x14ac:dyDescent="0.35">
      <c r="A3" s="13" t="s">
        <v>2</v>
      </c>
      <c r="B3" s="13"/>
      <c r="C3" s="13"/>
      <c r="D3" s="13"/>
      <c r="E3" s="13"/>
      <c r="F3" s="13"/>
      <c r="G3" s="13"/>
      <c r="H3" s="13"/>
    </row>
    <row r="5" spans="1:8" ht="36" customHeight="1" x14ac:dyDescent="0.3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</row>
    <row r="6" spans="1:8" ht="75.75" customHeight="1" x14ac:dyDescent="0.35">
      <c r="A6" s="2">
        <f>RANK(C6,$C$6:$C$9,1)</f>
        <v>1</v>
      </c>
      <c r="B6" s="3" t="s">
        <v>11</v>
      </c>
      <c r="C6" s="4">
        <v>321900</v>
      </c>
      <c r="D6" s="5">
        <f>C6-MIN($C$6:$C$9)</f>
        <v>0</v>
      </c>
      <c r="E6" s="5">
        <f>C6</f>
        <v>321900</v>
      </c>
      <c r="F6" s="3" t="s">
        <v>12</v>
      </c>
      <c r="G6" s="3" t="s">
        <v>13</v>
      </c>
      <c r="H6" s="2" t="s">
        <v>14</v>
      </c>
    </row>
    <row r="7" spans="1:8" ht="75.75" customHeight="1" x14ac:dyDescent="0.35">
      <c r="A7" s="2">
        <f>RANK(C7,$C$6:$C$9,1)</f>
        <v>2</v>
      </c>
      <c r="B7" s="3" t="s">
        <v>15</v>
      </c>
      <c r="C7" s="4">
        <v>323910</v>
      </c>
      <c r="D7" s="5">
        <f>C7-MIN($C$6:$C$9)</f>
        <v>2010</v>
      </c>
      <c r="E7" s="5">
        <f>C7</f>
        <v>323910</v>
      </c>
      <c r="F7" s="3" t="s">
        <v>16</v>
      </c>
      <c r="G7" s="3" t="s">
        <v>17</v>
      </c>
      <c r="H7" s="2" t="s">
        <v>18</v>
      </c>
    </row>
    <row r="8" spans="1:8" ht="75.75" customHeight="1" x14ac:dyDescent="0.35">
      <c r="A8" s="2">
        <f>RANK(C8,$C$6:$C$9,1)</f>
        <v>3</v>
      </c>
      <c r="B8" s="3" t="s">
        <v>19</v>
      </c>
      <c r="C8" s="4">
        <v>327509</v>
      </c>
      <c r="D8" s="5">
        <f>C8-MIN($C$6:$C$9)</f>
        <v>5609</v>
      </c>
      <c r="E8" s="5">
        <f>C8</f>
        <v>327509</v>
      </c>
      <c r="F8" s="3" t="s">
        <v>20</v>
      </c>
      <c r="G8" s="3" t="s">
        <v>21</v>
      </c>
      <c r="H8" s="2" t="s">
        <v>22</v>
      </c>
    </row>
    <row r="9" spans="1:8" ht="75.75" customHeight="1" x14ac:dyDescent="0.35">
      <c r="A9" s="2">
        <f>RANK(C9,$C$6:$C$9,1)</f>
        <v>4</v>
      </c>
      <c r="B9" s="3" t="s">
        <v>23</v>
      </c>
      <c r="C9" s="4">
        <v>349822.8</v>
      </c>
      <c r="D9" s="5">
        <f>C9-MIN($C$6:$C$9)</f>
        <v>27922.799999999988</v>
      </c>
      <c r="E9" s="5">
        <f>C9</f>
        <v>349822.8</v>
      </c>
      <c r="F9" s="3" t="s">
        <v>24</v>
      </c>
      <c r="G9" s="3" t="s">
        <v>25</v>
      </c>
      <c r="H9" s="2" t="s">
        <v>26</v>
      </c>
    </row>
    <row r="12" spans="1:8" x14ac:dyDescent="0.35">
      <c r="A12" s="14" t="s">
        <v>27</v>
      </c>
      <c r="B12" s="14"/>
      <c r="C12" s="14"/>
      <c r="D12" s="14"/>
      <c r="E12" s="14"/>
      <c r="F12" s="14"/>
      <c r="G12" s="14"/>
      <c r="H12" s="14"/>
    </row>
    <row r="13" spans="1:8" ht="51.75" customHeight="1" x14ac:dyDescent="0.35">
      <c r="A13" s="15" t="s">
        <v>28</v>
      </c>
      <c r="B13" s="15"/>
      <c r="C13" s="15"/>
      <c r="D13" s="15"/>
      <c r="E13" s="15"/>
      <c r="F13" s="15"/>
      <c r="G13" s="15"/>
      <c r="H13" s="15"/>
    </row>
    <row r="14" spans="1:8" ht="51.75" customHeight="1" x14ac:dyDescent="0.35">
      <c r="A14" s="15"/>
      <c r="B14" s="15"/>
      <c r="C14" s="15"/>
      <c r="D14" s="15"/>
      <c r="E14" s="15"/>
      <c r="F14" s="15"/>
      <c r="G14" s="15"/>
      <c r="H14" s="15"/>
    </row>
    <row r="15" spans="1:8" ht="51.75" customHeight="1" x14ac:dyDescent="0.35">
      <c r="A15" s="15"/>
      <c r="B15" s="15"/>
      <c r="C15" s="15"/>
      <c r="D15" s="15"/>
      <c r="E15" s="15"/>
      <c r="F15" s="15"/>
      <c r="G15" s="15"/>
      <c r="H15" s="15"/>
    </row>
  </sheetData>
  <autoFilter ref="A5:H9" xr:uid="{00000000-0009-0000-0000-000000000000}"/>
  <mergeCells count="5">
    <mergeCell ref="A1:H1"/>
    <mergeCell ref="A2:H2"/>
    <mergeCell ref="A3:H3"/>
    <mergeCell ref="A12:H12"/>
    <mergeCell ref="A13:H15"/>
  </mergeCells>
  <conditionalFormatting sqref="C6:C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fitToHeight="0" orientation="portrait" horizontalDpi="300" verticalDpi="300"/>
  <headerFooter>
    <oddHeader>&amp;C&amp;"Calibri,Bold"Final Comparison</oddHeader>
    <oddFooter>&amp;LInternal procurement evaluation&amp;RPage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9"/>
  <sheetViews>
    <sheetView showGridLines="0" zoomScale="85" zoomScaleNormal="85" workbookViewId="0">
      <pane ySplit="5" topLeftCell="A6" activePane="bottomLeft" state="frozen"/>
      <selection pane="bottomLeft" sqref="A1:N1"/>
    </sheetView>
  </sheetViews>
  <sheetFormatPr defaultColWidth="8.7265625" defaultRowHeight="14.5" x14ac:dyDescent="0.35"/>
  <cols>
    <col min="1" max="1" width="28" customWidth="1"/>
    <col min="2" max="2" width="14" customWidth="1"/>
    <col min="3" max="3" width="42" customWidth="1"/>
    <col min="4" max="4" width="38" customWidth="1"/>
    <col min="5" max="5" width="18" customWidth="1"/>
    <col min="6" max="6" width="8" customWidth="1"/>
    <col min="7" max="7" width="21" customWidth="1"/>
    <col min="8" max="8" width="18" customWidth="1"/>
    <col min="9" max="9" width="22" customWidth="1"/>
    <col min="10" max="11" width="28" customWidth="1"/>
    <col min="12" max="12" width="34" customWidth="1"/>
    <col min="13" max="13" width="24" customWidth="1"/>
    <col min="14" max="14" width="48" customWidth="1"/>
  </cols>
  <sheetData>
    <row r="1" spans="1:14" ht="27.75" customHeight="1" x14ac:dyDescent="0.45">
      <c r="A1" s="11" t="s">
        <v>29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x14ac:dyDescent="0.35">
      <c r="A2" s="12" t="s">
        <v>30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5" spans="1:14" ht="36" customHeight="1" x14ac:dyDescent="0.35">
      <c r="A5" s="1" t="s">
        <v>4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1" t="s">
        <v>36</v>
      </c>
      <c r="H5" s="1" t="s">
        <v>37</v>
      </c>
      <c r="I5" s="1" t="s">
        <v>5</v>
      </c>
      <c r="J5" s="1" t="s">
        <v>38</v>
      </c>
      <c r="K5" s="1" t="s">
        <v>39</v>
      </c>
      <c r="L5" s="1" t="s">
        <v>40</v>
      </c>
      <c r="M5" s="1" t="s">
        <v>41</v>
      </c>
      <c r="N5" s="1" t="s">
        <v>42</v>
      </c>
    </row>
    <row r="6" spans="1:14" ht="72" customHeight="1" x14ac:dyDescent="0.35">
      <c r="A6" s="3" t="s">
        <v>11</v>
      </c>
      <c r="B6" s="6">
        <v>46248</v>
      </c>
      <c r="C6" s="3" t="s">
        <v>43</v>
      </c>
      <c r="D6" s="3" t="s">
        <v>44</v>
      </c>
      <c r="E6" s="3" t="s">
        <v>45</v>
      </c>
      <c r="F6" s="3">
        <v>1</v>
      </c>
      <c r="G6" s="4">
        <v>272796.61</v>
      </c>
      <c r="H6" s="5">
        <v>49103.39</v>
      </c>
      <c r="I6" s="5">
        <v>321900</v>
      </c>
      <c r="J6" s="3" t="s">
        <v>46</v>
      </c>
      <c r="K6" s="3" t="s">
        <v>47</v>
      </c>
      <c r="L6" s="3" t="s">
        <v>48</v>
      </c>
      <c r="M6" s="3" t="s">
        <v>49</v>
      </c>
      <c r="N6" s="3" t="s">
        <v>50</v>
      </c>
    </row>
    <row r="7" spans="1:14" ht="72" customHeight="1" x14ac:dyDescent="0.35">
      <c r="A7" s="3" t="s">
        <v>15</v>
      </c>
      <c r="B7" s="6">
        <v>46247</v>
      </c>
      <c r="C7" s="3" t="s">
        <v>51</v>
      </c>
      <c r="D7" s="3" t="s">
        <v>52</v>
      </c>
      <c r="E7" s="3" t="s">
        <v>53</v>
      </c>
      <c r="F7" s="3">
        <v>1</v>
      </c>
      <c r="G7" s="4">
        <v>274500</v>
      </c>
      <c r="H7" s="5">
        <v>49410</v>
      </c>
      <c r="I7" s="5">
        <v>323910</v>
      </c>
      <c r="J7" s="3" t="s">
        <v>54</v>
      </c>
      <c r="K7" s="3" t="s">
        <v>55</v>
      </c>
      <c r="L7" s="3" t="s">
        <v>56</v>
      </c>
      <c r="M7" s="3" t="s">
        <v>57</v>
      </c>
      <c r="N7" s="3" t="s">
        <v>58</v>
      </c>
    </row>
    <row r="8" spans="1:14" ht="72" customHeight="1" x14ac:dyDescent="0.35">
      <c r="A8" s="3" t="s">
        <v>19</v>
      </c>
      <c r="B8" s="6">
        <v>46247</v>
      </c>
      <c r="C8" s="3" t="s">
        <v>59</v>
      </c>
      <c r="D8" s="3" t="s">
        <v>44</v>
      </c>
      <c r="E8" s="3" t="s">
        <v>45</v>
      </c>
      <c r="F8" s="3">
        <v>1</v>
      </c>
      <c r="G8" s="4">
        <v>277550</v>
      </c>
      <c r="H8" s="5">
        <v>49959</v>
      </c>
      <c r="I8" s="5">
        <v>327509</v>
      </c>
      <c r="J8" s="3" t="s">
        <v>54</v>
      </c>
      <c r="K8" s="3" t="s">
        <v>60</v>
      </c>
      <c r="L8" s="3" t="s">
        <v>61</v>
      </c>
      <c r="M8" s="3" t="s">
        <v>62</v>
      </c>
      <c r="N8" s="3" t="s">
        <v>63</v>
      </c>
    </row>
    <row r="9" spans="1:14" ht="72" customHeight="1" x14ac:dyDescent="0.35">
      <c r="A9" s="3" t="s">
        <v>23</v>
      </c>
      <c r="B9" s="6">
        <v>46247</v>
      </c>
      <c r="C9" s="3" t="s">
        <v>64</v>
      </c>
      <c r="D9" s="3" t="s">
        <v>65</v>
      </c>
      <c r="E9" s="3" t="s">
        <v>66</v>
      </c>
      <c r="F9" s="3">
        <v>1</v>
      </c>
      <c r="G9" s="4">
        <v>296460</v>
      </c>
      <c r="H9" s="5">
        <v>53362.8</v>
      </c>
      <c r="I9" s="5">
        <v>349822.8</v>
      </c>
      <c r="J9" s="3" t="s">
        <v>54</v>
      </c>
      <c r="K9" s="3" t="s">
        <v>67</v>
      </c>
      <c r="L9" s="3" t="s">
        <v>68</v>
      </c>
      <c r="M9" s="3" t="s">
        <v>69</v>
      </c>
      <c r="N9" s="3" t="s">
        <v>70</v>
      </c>
    </row>
  </sheetData>
  <autoFilter ref="A5:N9" xr:uid="{00000000-0009-0000-0000-000001000000}"/>
  <mergeCells count="2">
    <mergeCell ref="A1:N1"/>
    <mergeCell ref="A2:N2"/>
  </mergeCells>
  <pageMargins left="0.75" right="0.75" top="1" bottom="1" header="0.5" footer="0.5"/>
  <pageSetup fitToHeight="0" orientation="portrait" horizontalDpi="300" verticalDpi="300"/>
  <headerFooter>
    <oddHeader>&amp;C&amp;"Calibri,Bold"Quote Details</oddHeader>
    <oddFooter>&amp;LInternal procurement evaluation&amp;RPage &amp;P of &amp;N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15"/>
  <sheetViews>
    <sheetView showGridLines="0" zoomScale="85" zoomScaleNormal="85" workbookViewId="0">
      <pane ySplit="5" topLeftCell="A6" activePane="bottomLeft" state="frozen"/>
      <selection pane="bottomLeft" sqref="A1:L1"/>
    </sheetView>
  </sheetViews>
  <sheetFormatPr defaultColWidth="8.7265625" defaultRowHeight="14.5" x14ac:dyDescent="0.35"/>
  <cols>
    <col min="1" max="1" width="30" customWidth="1"/>
    <col min="2" max="5" width="22" customWidth="1"/>
    <col min="6" max="6" width="26" customWidth="1"/>
    <col min="7" max="7" width="42" customWidth="1"/>
    <col min="8" max="8" width="18" customWidth="1"/>
    <col min="9" max="10" width="15" customWidth="1"/>
    <col min="11" max="11" width="22" customWidth="1"/>
    <col min="12" max="12" width="38" customWidth="1"/>
  </cols>
  <sheetData>
    <row r="1" spans="1:12" ht="27.75" customHeight="1" x14ac:dyDescent="0.45">
      <c r="A1" s="11" t="s">
        <v>71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x14ac:dyDescent="0.35">
      <c r="A2" s="12" t="s">
        <v>72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5" spans="1:12" ht="36" customHeight="1" x14ac:dyDescent="0.35">
      <c r="A5" s="1" t="s">
        <v>73</v>
      </c>
      <c r="B5" s="1" t="s">
        <v>11</v>
      </c>
      <c r="C5" s="1" t="s">
        <v>74</v>
      </c>
      <c r="D5" s="1" t="s">
        <v>75</v>
      </c>
      <c r="E5" s="1" t="s">
        <v>76</v>
      </c>
      <c r="F5" s="1" t="s">
        <v>77</v>
      </c>
      <c r="G5" s="1" t="s">
        <v>78</v>
      </c>
      <c r="H5" s="1" t="s">
        <v>79</v>
      </c>
      <c r="I5" s="1" t="s">
        <v>80</v>
      </c>
      <c r="J5" s="1" t="s">
        <v>81</v>
      </c>
      <c r="K5" s="1" t="s">
        <v>82</v>
      </c>
      <c r="L5" s="1" t="s">
        <v>83</v>
      </c>
    </row>
    <row r="6" spans="1:12" ht="55.5" customHeight="1" x14ac:dyDescent="0.35">
      <c r="A6" s="7" t="s">
        <v>84</v>
      </c>
      <c r="B6" s="8" t="s">
        <v>85</v>
      </c>
      <c r="C6" s="8" t="s">
        <v>85</v>
      </c>
      <c r="D6" s="8" t="s">
        <v>85</v>
      </c>
      <c r="E6" s="8" t="s">
        <v>85</v>
      </c>
      <c r="F6" s="7" t="s">
        <v>86</v>
      </c>
      <c r="G6" s="7" t="s">
        <v>87</v>
      </c>
      <c r="H6" s="7" t="s">
        <v>88</v>
      </c>
      <c r="I6" s="7" t="s">
        <v>89</v>
      </c>
      <c r="J6" s="7"/>
      <c r="K6" s="7"/>
      <c r="L6" s="7"/>
    </row>
    <row r="7" spans="1:12" ht="55.5" customHeight="1" x14ac:dyDescent="0.35">
      <c r="A7" s="7" t="s">
        <v>90</v>
      </c>
      <c r="B7" s="8" t="s">
        <v>85</v>
      </c>
      <c r="C7" s="8" t="s">
        <v>85</v>
      </c>
      <c r="D7" s="8" t="s">
        <v>85</v>
      </c>
      <c r="E7" s="8" t="s">
        <v>85</v>
      </c>
      <c r="F7" s="7" t="s">
        <v>91</v>
      </c>
      <c r="G7" s="7"/>
      <c r="H7" s="7" t="s">
        <v>88</v>
      </c>
      <c r="I7" s="7" t="s">
        <v>89</v>
      </c>
      <c r="J7" s="7"/>
      <c r="K7" s="7"/>
      <c r="L7" s="7"/>
    </row>
    <row r="8" spans="1:12" ht="55.5" customHeight="1" x14ac:dyDescent="0.35">
      <c r="A8" s="7" t="s">
        <v>92</v>
      </c>
      <c r="B8" s="8" t="s">
        <v>93</v>
      </c>
      <c r="C8" s="8" t="s">
        <v>94</v>
      </c>
      <c r="D8" s="8" t="s">
        <v>93</v>
      </c>
      <c r="E8" s="9" t="s">
        <v>95</v>
      </c>
      <c r="F8" s="7" t="s">
        <v>96</v>
      </c>
      <c r="G8" s="7" t="s">
        <v>97</v>
      </c>
      <c r="H8" s="7" t="s">
        <v>88</v>
      </c>
      <c r="I8" s="7" t="s">
        <v>89</v>
      </c>
      <c r="J8" s="7"/>
      <c r="K8" s="7"/>
      <c r="L8" s="7"/>
    </row>
    <row r="9" spans="1:12" ht="55.5" customHeight="1" x14ac:dyDescent="0.35">
      <c r="A9" s="7" t="s">
        <v>98</v>
      </c>
      <c r="B9" s="10" t="s">
        <v>45</v>
      </c>
      <c r="C9" s="10" t="s">
        <v>53</v>
      </c>
      <c r="D9" s="10" t="s">
        <v>45</v>
      </c>
      <c r="E9" s="10" t="s">
        <v>66</v>
      </c>
      <c r="F9" s="7" t="s">
        <v>99</v>
      </c>
      <c r="G9" s="7" t="s">
        <v>100</v>
      </c>
      <c r="H9" s="7" t="s">
        <v>88</v>
      </c>
      <c r="I9" s="7" t="s">
        <v>89</v>
      </c>
      <c r="J9" s="7"/>
      <c r="K9" s="7"/>
      <c r="L9" s="7"/>
    </row>
    <row r="10" spans="1:12" ht="55.5" customHeight="1" x14ac:dyDescent="0.35">
      <c r="A10" s="7" t="s">
        <v>101</v>
      </c>
      <c r="B10" s="10" t="s">
        <v>102</v>
      </c>
      <c r="C10" s="8" t="s">
        <v>54</v>
      </c>
      <c r="D10" s="8" t="s">
        <v>54</v>
      </c>
      <c r="E10" s="8" t="s">
        <v>54</v>
      </c>
      <c r="F10" s="7" t="s">
        <v>103</v>
      </c>
      <c r="G10" s="7" t="s">
        <v>104</v>
      </c>
      <c r="H10" s="7" t="s">
        <v>88</v>
      </c>
      <c r="I10" s="7" t="s">
        <v>89</v>
      </c>
      <c r="J10" s="7"/>
      <c r="K10" s="7"/>
      <c r="L10" s="7"/>
    </row>
    <row r="11" spans="1:12" ht="55.5" customHeight="1" x14ac:dyDescent="0.35">
      <c r="A11" s="7" t="s">
        <v>39</v>
      </c>
      <c r="B11" s="10" t="s">
        <v>105</v>
      </c>
      <c r="C11" s="10" t="s">
        <v>55</v>
      </c>
      <c r="D11" s="10" t="s">
        <v>106</v>
      </c>
      <c r="E11" s="10" t="s">
        <v>107</v>
      </c>
      <c r="F11" s="7" t="s">
        <v>108</v>
      </c>
      <c r="G11" s="7" t="s">
        <v>109</v>
      </c>
      <c r="H11" s="7" t="s">
        <v>88</v>
      </c>
      <c r="I11" s="7" t="s">
        <v>89</v>
      </c>
      <c r="J11" s="7"/>
      <c r="K11" s="7"/>
      <c r="L11" s="7"/>
    </row>
    <row r="12" spans="1:12" ht="55.5" customHeight="1" x14ac:dyDescent="0.35">
      <c r="A12" s="7" t="s">
        <v>110</v>
      </c>
      <c r="B12" s="10" t="s">
        <v>111</v>
      </c>
      <c r="C12" s="10" t="s">
        <v>112</v>
      </c>
      <c r="D12" s="8" t="s">
        <v>113</v>
      </c>
      <c r="E12" s="10" t="s">
        <v>111</v>
      </c>
      <c r="F12" s="7" t="s">
        <v>114</v>
      </c>
      <c r="G12" s="7" t="s">
        <v>115</v>
      </c>
      <c r="H12" s="7" t="s">
        <v>88</v>
      </c>
      <c r="I12" s="7" t="s">
        <v>89</v>
      </c>
      <c r="J12" s="7"/>
      <c r="K12" s="7"/>
      <c r="L12" s="7"/>
    </row>
    <row r="13" spans="1:12" ht="55.5" customHeight="1" x14ac:dyDescent="0.35">
      <c r="A13" s="7" t="s">
        <v>116</v>
      </c>
      <c r="B13" s="10" t="s">
        <v>49</v>
      </c>
      <c r="C13" s="8" t="s">
        <v>57</v>
      </c>
      <c r="D13" s="10" t="s">
        <v>117</v>
      </c>
      <c r="E13" s="10" t="s">
        <v>118</v>
      </c>
      <c r="F13" s="7" t="s">
        <v>119</v>
      </c>
      <c r="G13" s="7" t="s">
        <v>120</v>
      </c>
      <c r="H13" s="7" t="s">
        <v>88</v>
      </c>
      <c r="I13" s="7" t="s">
        <v>89</v>
      </c>
      <c r="J13" s="7"/>
      <c r="K13" s="7"/>
      <c r="L13" s="7"/>
    </row>
    <row r="14" spans="1:12" ht="55.5" customHeight="1" x14ac:dyDescent="0.35">
      <c r="A14" s="7" t="s">
        <v>121</v>
      </c>
      <c r="B14" s="9" t="s">
        <v>122</v>
      </c>
      <c r="C14" s="10" t="s">
        <v>123</v>
      </c>
      <c r="D14" s="9" t="s">
        <v>122</v>
      </c>
      <c r="E14" s="9" t="s">
        <v>122</v>
      </c>
      <c r="F14" s="7" t="s">
        <v>124</v>
      </c>
      <c r="G14" s="7" t="s">
        <v>125</v>
      </c>
      <c r="H14" s="7" t="s">
        <v>88</v>
      </c>
      <c r="I14" s="7" t="s">
        <v>89</v>
      </c>
      <c r="J14" s="7"/>
      <c r="K14" s="7"/>
      <c r="L14" s="7"/>
    </row>
    <row r="15" spans="1:12" ht="55.5" customHeight="1" x14ac:dyDescent="0.35">
      <c r="A15" s="7" t="s">
        <v>126</v>
      </c>
      <c r="B15" s="9" t="s">
        <v>127</v>
      </c>
      <c r="C15" s="9" t="s">
        <v>127</v>
      </c>
      <c r="D15" s="9" t="s">
        <v>127</v>
      </c>
      <c r="E15" s="9" t="s">
        <v>127</v>
      </c>
      <c r="F15" s="7" t="s">
        <v>128</v>
      </c>
      <c r="G15" s="7" t="s">
        <v>129</v>
      </c>
      <c r="H15" s="7" t="s">
        <v>88</v>
      </c>
      <c r="I15" s="7" t="s">
        <v>89</v>
      </c>
      <c r="J15" s="7"/>
      <c r="K15" s="7"/>
      <c r="L15" s="7"/>
    </row>
  </sheetData>
  <autoFilter ref="A5:L15" xr:uid="{00000000-0009-0000-0000-000002000000}"/>
  <mergeCells count="2">
    <mergeCell ref="A1:L1"/>
    <mergeCell ref="A2:L2"/>
  </mergeCells>
  <dataValidations count="1">
    <dataValidation type="list" sqref="I6:I15" xr:uid="{00000000-0002-0000-0200-000000000000}">
      <formula1>"Open,In Progress,Closed,Not Applicable"</formula1>
      <formula2>0</formula2>
    </dataValidation>
  </dataValidations>
  <pageMargins left="0.75" right="0.75" top="1" bottom="1" header="0.5" footer="0.5"/>
  <pageSetup fitToHeight="0" orientation="portrait" horizontalDpi="300" verticalDpi="300"/>
  <headerFooter>
    <oddHeader>&amp;C&amp;"Calibri,Bold"Compliance Matrix</oddHeader>
    <oddFooter>&amp;LInternal procurement evaluation&amp;RPage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11"/>
  <sheetViews>
    <sheetView showGridLines="0" zoomScale="85" zoomScaleNormal="85" workbookViewId="0">
      <pane ySplit="5" topLeftCell="A6" activePane="bottomLeft" state="frozen"/>
      <selection pane="bottomLeft" sqref="A1:J1"/>
    </sheetView>
  </sheetViews>
  <sheetFormatPr defaultColWidth="8.7265625" defaultRowHeight="14.5" x14ac:dyDescent="0.35"/>
  <cols>
    <col min="1" max="1" width="10" customWidth="1"/>
    <col min="2" max="2" width="23" customWidth="1"/>
    <col min="3" max="3" width="44" customWidth="1"/>
    <col min="4" max="4" width="31" customWidth="1"/>
    <col min="5" max="5" width="42" customWidth="1"/>
    <col min="6" max="6" width="18" customWidth="1"/>
    <col min="7" max="8" width="15" customWidth="1"/>
    <col min="9" max="9" width="38" customWidth="1"/>
    <col min="10" max="10" width="25" customWidth="1"/>
  </cols>
  <sheetData>
    <row r="1" spans="1:10" ht="27.75" customHeight="1" x14ac:dyDescent="0.45">
      <c r="A1" s="11" t="s">
        <v>130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35">
      <c r="A2" s="12" t="s">
        <v>131</v>
      </c>
      <c r="B2" s="12"/>
      <c r="C2" s="12"/>
      <c r="D2" s="12"/>
      <c r="E2" s="12"/>
      <c r="F2" s="12"/>
      <c r="G2" s="12"/>
      <c r="H2" s="12"/>
      <c r="I2" s="12"/>
      <c r="J2" s="12"/>
    </row>
    <row r="5" spans="1:10" ht="36" customHeight="1" x14ac:dyDescent="0.35">
      <c r="A5" s="1" t="s">
        <v>132</v>
      </c>
      <c r="B5" s="1" t="s">
        <v>4</v>
      </c>
      <c r="C5" s="1" t="s">
        <v>133</v>
      </c>
      <c r="D5" s="1" t="s">
        <v>134</v>
      </c>
      <c r="E5" s="1" t="s">
        <v>135</v>
      </c>
      <c r="F5" s="1" t="s">
        <v>79</v>
      </c>
      <c r="G5" s="1" t="s">
        <v>80</v>
      </c>
      <c r="H5" s="1" t="s">
        <v>136</v>
      </c>
      <c r="I5" s="1" t="s">
        <v>137</v>
      </c>
      <c r="J5" s="1" t="s">
        <v>138</v>
      </c>
    </row>
    <row r="6" spans="1:10" ht="60" customHeight="1" x14ac:dyDescent="0.35">
      <c r="A6" s="9" t="s">
        <v>139</v>
      </c>
      <c r="B6" s="7" t="s">
        <v>11</v>
      </c>
      <c r="C6" s="7" t="s">
        <v>140</v>
      </c>
      <c r="D6" s="7" t="s">
        <v>141</v>
      </c>
      <c r="E6" s="7" t="s">
        <v>142</v>
      </c>
      <c r="F6" s="7" t="s">
        <v>88</v>
      </c>
      <c r="G6" s="7" t="s">
        <v>89</v>
      </c>
      <c r="H6" s="7"/>
      <c r="I6" s="7"/>
      <c r="J6" s="7" t="s">
        <v>143</v>
      </c>
    </row>
    <row r="7" spans="1:10" ht="60" customHeight="1" x14ac:dyDescent="0.35">
      <c r="A7" s="9" t="s">
        <v>139</v>
      </c>
      <c r="B7" s="7" t="s">
        <v>74</v>
      </c>
      <c r="C7" s="7" t="s">
        <v>144</v>
      </c>
      <c r="D7" s="7" t="s">
        <v>145</v>
      </c>
      <c r="E7" s="7" t="s">
        <v>146</v>
      </c>
      <c r="F7" s="7" t="s">
        <v>88</v>
      </c>
      <c r="G7" s="7" t="s">
        <v>89</v>
      </c>
      <c r="H7" s="7"/>
      <c r="I7" s="7"/>
      <c r="J7" s="7" t="s">
        <v>143</v>
      </c>
    </row>
    <row r="8" spans="1:10" ht="60" customHeight="1" x14ac:dyDescent="0.35">
      <c r="A8" s="9" t="s">
        <v>139</v>
      </c>
      <c r="B8" s="7" t="s">
        <v>75</v>
      </c>
      <c r="C8" s="7" t="s">
        <v>147</v>
      </c>
      <c r="D8" s="7" t="s">
        <v>148</v>
      </c>
      <c r="E8" s="7" t="s">
        <v>149</v>
      </c>
      <c r="F8" s="7" t="s">
        <v>88</v>
      </c>
      <c r="G8" s="7" t="s">
        <v>89</v>
      </c>
      <c r="H8" s="7"/>
      <c r="I8" s="7"/>
      <c r="J8" s="7" t="s">
        <v>143</v>
      </c>
    </row>
    <row r="9" spans="1:10" ht="60" customHeight="1" x14ac:dyDescent="0.35">
      <c r="A9" s="9" t="s">
        <v>139</v>
      </c>
      <c r="B9" s="7" t="s">
        <v>150</v>
      </c>
      <c r="C9" s="7" t="s">
        <v>151</v>
      </c>
      <c r="D9" s="7" t="s">
        <v>152</v>
      </c>
      <c r="E9" s="7" t="s">
        <v>153</v>
      </c>
      <c r="F9" s="7" t="s">
        <v>88</v>
      </c>
      <c r="G9" s="7" t="s">
        <v>89</v>
      </c>
      <c r="H9" s="7"/>
      <c r="I9" s="7"/>
      <c r="J9" s="7" t="s">
        <v>154</v>
      </c>
    </row>
    <row r="10" spans="1:10" ht="60" customHeight="1" x14ac:dyDescent="0.35">
      <c r="A10" s="10" t="s">
        <v>155</v>
      </c>
      <c r="B10" s="7" t="s">
        <v>11</v>
      </c>
      <c r="C10" s="7" t="s">
        <v>156</v>
      </c>
      <c r="D10" s="7" t="s">
        <v>157</v>
      </c>
      <c r="E10" s="7" t="s">
        <v>158</v>
      </c>
      <c r="F10" s="7" t="s">
        <v>88</v>
      </c>
      <c r="G10" s="7" t="s">
        <v>89</v>
      </c>
      <c r="H10" s="7"/>
      <c r="I10" s="7"/>
      <c r="J10" s="7" t="s">
        <v>159</v>
      </c>
    </row>
    <row r="11" spans="1:10" ht="60" customHeight="1" x14ac:dyDescent="0.35">
      <c r="A11" s="10" t="s">
        <v>155</v>
      </c>
      <c r="B11" s="7" t="s">
        <v>76</v>
      </c>
      <c r="C11" s="7" t="s">
        <v>160</v>
      </c>
      <c r="D11" s="7" t="s">
        <v>161</v>
      </c>
      <c r="E11" s="7" t="s">
        <v>162</v>
      </c>
      <c r="F11" s="7" t="s">
        <v>88</v>
      </c>
      <c r="G11" s="7" t="s">
        <v>89</v>
      </c>
      <c r="H11" s="7"/>
      <c r="I11" s="7"/>
      <c r="J11" s="7" t="s">
        <v>163</v>
      </c>
    </row>
  </sheetData>
  <autoFilter ref="A5:J11" xr:uid="{00000000-0009-0000-0000-000003000000}"/>
  <mergeCells count="2">
    <mergeCell ref="A1:J1"/>
    <mergeCell ref="A2:J2"/>
  </mergeCells>
  <dataValidations count="1">
    <dataValidation type="list" sqref="G6:G11" xr:uid="{00000000-0002-0000-0300-000000000000}">
      <formula1>"Open,In Progress,Closed,Not Applicable"</formula1>
      <formula2>0</formula2>
    </dataValidation>
  </dataValidations>
  <pageMargins left="0.75" right="0.75" top="1" bottom="1" header="0.5" footer="0.5"/>
  <pageSetup fitToHeight="0" orientation="portrait" horizontalDpi="300" verticalDpi="300"/>
  <headerFooter>
    <oddHeader>&amp;C&amp;"Calibri,Bold"Decision Follow-up</oddHeader>
    <oddFooter>&amp;LInternal procurement evaluation&amp;RPage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Final Comparison</vt:lpstr>
      <vt:lpstr>Quote Details</vt:lpstr>
      <vt:lpstr>Compliance Matrix</vt:lpstr>
      <vt:lpstr>Decision &amp; Follow-up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Dnyaneshwar Karande</dc:creator>
  <cp:keywords/>
  <dc:description/>
  <cp:lastModifiedBy>Dnyaneshwar Karande</cp:lastModifiedBy>
  <cp:revision>0</cp:revision>
  <dcterms:created xsi:type="dcterms:W3CDTF">2026-08-24T17:21:04Z</dcterms:created>
  <dcterms:modified xsi:type="dcterms:W3CDTF">2026-09-17T18:12:37Z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2026-08-24T17:21:04Z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dd72a2d2-8ec1-4f74-9b3a-e66f079e7fd4</vt:lpwstr>
  </property>
  <property fmtid="{D5CDD505-2E9C-101B-9397-08002B2CF9AE}" pid="7" name="MSIP_Label_defa4170-0d19-0005-0004-bc88714345d2_ActionId">
    <vt:lpwstr>91244ab6-a114-41e5-b84e-d3cd7cc014e3</vt:lpwstr>
  </property>
  <property fmtid="{D5CDD505-2E9C-101B-9397-08002B2CF9AE}" pid="8" name="MSIP_Label_defa4170-0d19-0005-0004-bc88714345d2_ContentBits">
    <vt:lpwstr>0</vt:lpwstr>
  </property>
</Properties>
</file>