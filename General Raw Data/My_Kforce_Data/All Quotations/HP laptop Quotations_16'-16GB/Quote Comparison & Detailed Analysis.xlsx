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forceinternational-my.sharepoint.com/personal/dnyaneshwar_karande_kforce_co_in/Documents/Documents/All Quotations/HP laptop Quotations/"/>
    </mc:Choice>
  </mc:AlternateContent>
  <xr:revisionPtr revIDLastSave="9" documentId="8_{DDDF94B6-DA6B-4884-9CB2-79DD61DED302}" xr6:coauthVersionLast="47" xr6:coauthVersionMax="47" xr10:uidLastSave="{9341BF17-6740-4AFF-94B6-87FB2B1412D7}"/>
  <bookViews>
    <workbookView xWindow="-110" yWindow="-110" windowWidth="19420" windowHeight="11500" xr2:uid="{AC0EA00B-77DB-4C81-818C-2479B8F9D3CF}"/>
  </bookViews>
  <sheets>
    <sheet name="Quote Comparison" sheetId="1" r:id="rId1"/>
    <sheet name="Detailed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" l="1"/>
  <c r="B12" i="1" s="1"/>
  <c r="C10" i="1"/>
  <c r="C12" i="1" s="1"/>
  <c r="D10" i="1"/>
  <c r="D12" i="1" s="1"/>
  <c r="E10" i="1"/>
  <c r="E12" i="1" s="1"/>
  <c r="E13" i="1" l="1"/>
  <c r="E14" i="1" s="1"/>
  <c r="D13" i="1"/>
  <c r="D14" i="1" s="1"/>
  <c r="C13" i="1"/>
  <c r="C14" i="1" s="1"/>
  <c r="B13" i="1"/>
  <c r="F12" i="1"/>
  <c r="F13" i="1" l="1"/>
  <c r="B14" i="1"/>
  <c r="F14" i="1" s="1"/>
</calcChain>
</file>

<file path=xl/sharedStrings.xml><?xml version="1.0" encoding="utf-8"?>
<sst xmlns="http://schemas.openxmlformats.org/spreadsheetml/2006/main" count="208" uniqueCount="142">
  <si>
    <t>VENDORS</t>
  </si>
  <si>
    <t>No of Laptops</t>
  </si>
  <si>
    <t>SELECTION CRITERIA</t>
  </si>
  <si>
    <t>HP 250R G10 LAPTOP QUOTES COMPARISON - Based on Attached PDF Quotes (10 Units)</t>
  </si>
  <si>
    <t>Sr. No</t>
  </si>
  <si>
    <t>Vendor Name</t>
  </si>
  <si>
    <t>Product Model</t>
  </si>
  <si>
    <t>Specifications</t>
  </si>
  <si>
    <t>Laptop Unit Price (Excl GST)</t>
  </si>
  <si>
    <t>ADP Warranty Price (Excl GST)</t>
  </si>
  <si>
    <t>ADP Duration</t>
  </si>
  <si>
    <t>Total Price (10 Units, Incl 18% GST)</t>
  </si>
  <si>
    <t>Delivery Time</t>
  </si>
  <si>
    <t>Quote Validity</t>
  </si>
  <si>
    <t>Payment Terms</t>
  </si>
  <si>
    <t>Remarks</t>
  </si>
  <si>
    <t>Kopy Solutions</t>
  </si>
  <si>
    <t>HP 250R G10 [C91T7AT]</t>
  </si>
  <si>
    <t>Core 5 120U | 8GB+8GB RAM | 512GB SSD | 15.6" FHD | Win 11 Pro | 1 Yr Warranty</t>
  </si>
  <si>
    <t>1 Year</t>
  </si>
  <si>
    <t>2 working days</t>
  </si>
  <si>
    <t>15 Days (till 01-08-2026)</t>
  </si>
  <si>
    <t>100% Advance with PO</t>
  </si>
  <si>
    <t>Free Delivery &amp; Installation in Pune</t>
  </si>
  <si>
    <t>IT World</t>
  </si>
  <si>
    <t>HP 250R G10 [C91T8AT]</t>
  </si>
  <si>
    <t>Core 5-120U | 16GB RAM | 512GB SSD | 15.6" FHD IPS | Win 11 OEM | 1+2 Yr ADP | Bag</t>
  </si>
  <si>
    <t>1+2 Years (Included)</t>
  </si>
  <si>
    <t>1 week</t>
  </si>
  <si>
    <t>2 Days</t>
  </si>
  <si>
    <t>ADP included in price, Bag included</t>
  </si>
  <si>
    <t>RH Communication</t>
  </si>
  <si>
    <t>Core 5 120U | 16GB (8+8) RAM | 512GB SSD | 15.6" FHD | Win 11 Pro | 1 Yr Warranty | Bag &amp; Mouse</t>
  </si>
  <si>
    <t>3 Years</t>
  </si>
  <si>
    <t>8 working days</t>
  </si>
  <si>
    <t>5 Days</t>
  </si>
  <si>
    <t>Freight Extra, Bag &amp; Mouse included</t>
  </si>
  <si>
    <t>Turbonet Systems</t>
  </si>
  <si>
    <t>Core i5 120U | 16GB RAM | 512GB SSD | 15.6" | Win 11 Pro | 1 Yr Warranty</t>
  </si>
  <si>
    <t>5-7 days</t>
  </si>
  <si>
    <t>7 Days</t>
  </si>
  <si>
    <t>Freight extra for outside Mumbai</t>
  </si>
  <si>
    <t>ANALYSIS &amp; RECOMMENDATION</t>
  </si>
  <si>
    <t>Criteria</t>
  </si>
  <si>
    <t>Best Option</t>
  </si>
  <si>
    <t>Lowest Total Price</t>
  </si>
  <si>
    <t>₹9,91,200</t>
  </si>
  <si>
    <t>₹8,96,800</t>
  </si>
  <si>
    <t>₹9,02,700</t>
  </si>
  <si>
    <t>₹8,90,900</t>
  </si>
  <si>
    <t>Best ADP Coverage</t>
  </si>
  <si>
    <t>3 Years (Incl)</t>
  </si>
  <si>
    <t>IT World / RH / Turbonet</t>
  </si>
  <si>
    <t>Fastest Delivery</t>
  </si>
  <si>
    <t>2 days</t>
  </si>
  <si>
    <t>8 days</t>
  </si>
  <si>
    <t>Best Specifications</t>
  </si>
  <si>
    <t>8+8GB RAM</t>
  </si>
  <si>
    <t>16GB + Bag</t>
  </si>
  <si>
    <t>16GB + Bag + Mouse</t>
  </si>
  <si>
    <t>16GB</t>
  </si>
  <si>
    <t>15 days</t>
  </si>
  <si>
    <t>5 days</t>
  </si>
  <si>
    <t>7 days</t>
  </si>
  <si>
    <t>FINAL RECOMMENDATION:</t>
  </si>
  <si>
    <t>TURBONET SYSTEMS offers the LOWEST TOTAL PRICE (₹8,90,900) with 3 Years ADP warranty and 5-7 days delivery.</t>
  </si>
  <si>
    <t>IT WORLD offers good value (₹8,96,800) with ADP already INCLUDED in price - no separate ADP cost.</t>
  </si>
  <si>
    <t>RH COMMUNICATION (₹9,02,700) provides the BEST PACKAGE with Bag &amp; Mouse included + 3 Years ADP.</t>
  </si>
  <si>
    <t>KOPY SOLUTIONS has FASTEST DELIVERY (2 days) but only 1 Year ADP and lower RAM (8+8GB vs 16GB).</t>
  </si>
  <si>
    <t>Vendor</t>
  </si>
  <si>
    <t>Total Price (₹)</t>
  </si>
  <si>
    <t>Price Comparison Chart →</t>
  </si>
  <si>
    <t>QUOTES FOR HP 250R G10 LAPTOPS - 10 NOS</t>
  </si>
  <si>
    <t>Total Price Consideration (Excl GST)</t>
  </si>
  <si>
    <t>HP 250R G10 [C91T7AT]
Core 5 120U | 8GB+8GB RAM
512GB SSD | 15.6" FHD
Win 11 Pro | 1 Yr Warranty</t>
  </si>
  <si>
    <t>HP 250R G10 [C91T8AT]
Core 5-120U | 16GB RAM
512GB SSD | 15.6" FHD IPS
Win 11 OEM | Bag Included</t>
  </si>
  <si>
    <t>HP 250R G10 [C91T7AT]
Core 5 120U | 16GB (8+8) RAM
512GB SSD | 15.6" FHD
Win 11 Pro | Bag &amp; Mouse</t>
  </si>
  <si>
    <t>HP 250R G10 [C91T7AT]
Core i5 120U | 16GB RAM
512GB SSD | 15.6"
Win 11 Pro | 1 Yr Warranty</t>
  </si>
  <si>
    <t>Laptop Price - 1 No (Excl GST)</t>
  </si>
  <si>
    <t>ADP Warranty Duration</t>
  </si>
  <si>
    <t>1+2 Years (Included in Price)</t>
  </si>
  <si>
    <t>Total Unit Price (Laptop + ADP)</t>
  </si>
  <si>
    <t>TOTAL VALUE (10 Units, Excl GST)</t>
  </si>
  <si>
    <t>GST @ 18%</t>
  </si>
  <si>
    <t>GRAND TOTAL (Incl GST)</t>
  </si>
  <si>
    <t>DELIVERY &amp; TERMS</t>
  </si>
  <si>
    <t>Additional Benefits</t>
  </si>
  <si>
    <t>1. READY AVAILABILITY</t>
  </si>
  <si>
    <t>2 working days - FASTEST</t>
  </si>
  <si>
    <t>2. LOWEST PRICE</t>
  </si>
  <si>
    <t>₹9,91,200 (Highest)</t>
  </si>
  <si>
    <t>₹8,90,900 - LOWEST</t>
  </si>
  <si>
    <t>3. BEST ADP WARRANTY</t>
  </si>
  <si>
    <t>1 Year only</t>
  </si>
  <si>
    <t>3 Years (Included) - BEST VALUE</t>
  </si>
  <si>
    <t>4. BEST PACKAGE</t>
  </si>
  <si>
    <t>8+8GB RAM (Lower)</t>
  </si>
  <si>
    <t>16GB + Bag + Mouse - BEST</t>
  </si>
  <si>
    <t>16GB only</t>
  </si>
  <si>
    <t>5. VENDOR LOCATION</t>
  </si>
  <si>
    <t>Pune (Local)</t>
  </si>
  <si>
    <t>Mira Road, Mumbai</t>
  </si>
  <si>
    <t>Thane, Mumbai</t>
  </si>
  <si>
    <t>RECOMMENDATION</t>
  </si>
  <si>
    <t>Based on Price:</t>
  </si>
  <si>
    <t>TURBONET SYSTEMS offers the LOWEST TOTAL PRICE (₹8,90,900 incl GST) with 3 Years ADP warranty.</t>
  </si>
  <si>
    <t>Based on Value:</t>
  </si>
  <si>
    <t>IT WORLD offers good value (₹8,96,800) with ADP already INCLUDED - no separate ADP cost.</t>
  </si>
  <si>
    <t>Based on Package:</t>
  </si>
  <si>
    <t>RH COMMUNICATION (₹9,02,700) provides BEST PACKAGE with Bag &amp; Mouse included + 3 Years ADP.</t>
  </si>
  <si>
    <t>Based on Urgency:</t>
  </si>
  <si>
    <t>KOPY SOLUTIONS has FASTEST DELIVERY (2 days) but only 1 Year ADP and lower RAM specification.</t>
  </si>
  <si>
    <t>ADP Warranty Note:</t>
  </si>
  <si>
    <t>ADP (Accident Damage Protection) is additional warranty cover for accidental damages. Recommended for employees who carry laptops during commute.</t>
  </si>
  <si>
    <t>VENDOR CONTACT DETAILS</t>
  </si>
  <si>
    <t>Company Name</t>
  </si>
  <si>
    <t>Turbonet Systems Pvt Ltd</t>
  </si>
  <si>
    <t>Address</t>
  </si>
  <si>
    <t>Office No. 03, 325/1A Shantai Apartment, Shaniwar Peth, Pune 411030</t>
  </si>
  <si>
    <t>Shop no-2 Ostwal Ashadeep, Mira Road, Maharashtra 401107</t>
  </si>
  <si>
    <t>Prabhu Apartment, Ground Floor, Wanwadi, Pune 411040</t>
  </si>
  <si>
    <t>Syselec House, Plot D-7/5, Wagle Industrial Estate, Thane 400604</t>
  </si>
  <si>
    <t>Contact</t>
  </si>
  <si>
    <t>Tel: +91 9503743818</t>
  </si>
  <si>
    <t>Tel: +91 9730072031 (Sushant Kharat)</t>
  </si>
  <si>
    <t>Tel: +91 92256 25630 (Santosh)</t>
  </si>
  <si>
    <t>Tel: +91 7715076417 (Harshada More)</t>
  </si>
  <si>
    <t>GSTIN</t>
  </si>
  <si>
    <t>27BKOPK2917H1ZX</t>
  </si>
  <si>
    <t>Not mentioned in quote</t>
  </si>
  <si>
    <t>27AYVPB7455M1ZM</t>
  </si>
  <si>
    <t>27AAECT6135E1ZF</t>
  </si>
  <si>
    <t>Bank</t>
  </si>
  <si>
    <t>IDBI Bank Ltd, A/C: 0490102000010584</t>
  </si>
  <si>
    <t>Not mentioned</t>
  </si>
  <si>
    <t>HDFC Bank, A/C: 50200104722000</t>
  </si>
  <si>
    <t>ICICI Bank, A/C: 332851000005</t>
  </si>
  <si>
    <t>Quote Date:</t>
  </si>
  <si>
    <t>17-07-2026</t>
  </si>
  <si>
    <t>16-07-2026</t>
  </si>
  <si>
    <t>⬆ LOWEST PRICE</t>
  </si>
  <si>
    <t>⬆ BEST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</si>
</sst>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64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3" fillId="4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6" borderId="1" xfId="0" applyFont="1" applyFill="1" applyBorder="1"/>
    <xf numFmtId="164" fontId="1" fillId="7" borderId="1" xfId="0" applyNumberFormat="1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64" fontId="0" fillId="9" borderId="1" xfId="0" applyNumberFormat="1" applyFill="1" applyBorder="1" applyAlignment="1">
      <alignment vertical="center" wrapText="1"/>
    </xf>
    <xf numFmtId="0" fontId="5" fillId="0" borderId="0" xfId="0" applyFont="1"/>
    <xf numFmtId="0" fontId="1" fillId="11" borderId="0" xfId="0" applyFont="1" applyFill="1"/>
    <xf numFmtId="0" fontId="0" fillId="10" borderId="1" xfId="0" applyFill="1" applyBorder="1" applyAlignment="1">
      <alignment vertical="top" wrapText="1"/>
    </xf>
    <xf numFmtId="164" fontId="0" fillId="0" borderId="1" xfId="0" applyNumberFormat="1" applyBorder="1"/>
    <xf numFmtId="0" fontId="1" fillId="11" borderId="1" xfId="0" applyFont="1" applyFill="1" applyBorder="1"/>
    <xf numFmtId="164" fontId="1" fillId="11" borderId="1" xfId="0" applyNumberFormat="1" applyFont="1" applyFill="1" applyBorder="1"/>
    <xf numFmtId="0" fontId="1" fillId="12" borderId="1" xfId="0" applyFont="1" applyFill="1" applyBorder="1"/>
    <xf numFmtId="164" fontId="1" fillId="12" borderId="1" xfId="0" applyNumberFormat="1" applyFont="1" applyFill="1" applyBorder="1"/>
    <xf numFmtId="0" fontId="1" fillId="13" borderId="1" xfId="0" applyFont="1" applyFill="1" applyBorder="1"/>
    <xf numFmtId="164" fontId="1" fillId="13" borderId="1" xfId="0" applyNumberFormat="1" applyFont="1" applyFill="1" applyBorder="1"/>
    <xf numFmtId="0" fontId="3" fillId="4" borderId="1" xfId="0" applyFont="1" applyFill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3" borderId="1" xfId="0" applyFill="1" applyBorder="1"/>
    <xf numFmtId="0" fontId="1" fillId="14" borderId="1" xfId="0" applyFont="1" applyFill="1" applyBorder="1"/>
    <xf numFmtId="164" fontId="0" fillId="14" borderId="1" xfId="0" applyNumberFormat="1" applyFill="1" applyBorder="1"/>
    <xf numFmtId="0" fontId="0" fillId="14" borderId="1" xfId="0" applyFill="1" applyBorder="1"/>
    <xf numFmtId="0" fontId="6" fillId="0" borderId="0" xfId="0" applyFont="1"/>
    <xf numFmtId="164" fontId="1" fillId="2" borderId="1" xfId="0" applyNumberFormat="1" applyFont="1" applyFill="1" applyBorder="1"/>
    <xf numFmtId="0" fontId="7" fillId="0" borderId="0" xfId="0" applyFont="1" applyAlignment="1">
      <alignment horizontal="center"/>
    </xf>
    <xf numFmtId="0" fontId="8" fillId="4" borderId="0" xfId="0" applyFont="1" applyFill="1"/>
    <xf numFmtId="0" fontId="9" fillId="0" borderId="0" xfId="0" applyFont="1"/>
    <xf numFmtId="164" fontId="9" fillId="0" borderId="0" xfId="0" applyNumberFormat="1" applyFont="1"/>
    <xf numFmtId="0" fontId="1" fillId="0" borderId="0" xfId="0" applyFont="1"/>
    <xf numFmtId="0" fontId="0" fillId="0" borderId="0" xfId="0"/>
    <xf numFmtId="0" fontId="0" fillId="11" borderId="0" xfId="0" applyFill="1" applyAlignment="1">
      <alignment wrapText="1"/>
    </xf>
    <xf numFmtId="0" fontId="0" fillId="11" borderId="0" xfId="0" applyFill="1"/>
    <xf numFmtId="0" fontId="3" fillId="4" borderId="1" xfId="0" applyFont="1" applyFill="1" applyBorder="1"/>
    <xf numFmtId="0" fontId="3" fillId="4" borderId="0" xfId="0" applyFont="1" applyFill="1"/>
    <xf numFmtId="0" fontId="2" fillId="3" borderId="0" xfId="0" applyFont="1" applyFill="1" applyAlignment="1">
      <alignment horizontal="center"/>
    </xf>
    <xf numFmtId="0" fontId="4" fillId="5" borderId="0" xfId="0" applyFont="1" applyFill="1"/>
    <xf numFmtId="0" fontId="4" fillId="8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Comparison - HP 250R G10 (10 Units, Incl GST)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₹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Analysis'!$N$2:$N$5</c:f>
              <c:strCache>
                <c:ptCount val="4"/>
                <c:pt idx="0">
                  <c:v>Kopy Solutions</c:v>
                </c:pt>
                <c:pt idx="1">
                  <c:v>IT World</c:v>
                </c:pt>
                <c:pt idx="2">
                  <c:v>RH Communication</c:v>
                </c:pt>
                <c:pt idx="3">
                  <c:v>Turbonet Systems</c:v>
                </c:pt>
              </c:strCache>
            </c:strRef>
          </c:cat>
          <c:val>
            <c:numRef>
              <c:f>'Detailed Analysis'!$O$2:$O$5</c:f>
              <c:numCache>
                <c:formatCode>\₹#,##0</c:formatCode>
                <c:ptCount val="4"/>
                <c:pt idx="0">
                  <c:v>991200</c:v>
                </c:pt>
                <c:pt idx="1">
                  <c:v>896800</c:v>
                </c:pt>
                <c:pt idx="2">
                  <c:v>902700</c:v>
                </c:pt>
                <c:pt idx="3">
                  <c:v>890900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4-4EB5-8C93-0404E83B1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5670320"/>
        <c:axId val="665669360"/>
      </c:barChart>
      <c:catAx>
        <c:axId val="66567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669360"/>
        <c:crosses val="autoZero"/>
        <c:auto val="1"/>
        <c:lblAlgn val="ctr"/>
        <c:lblOffset val="100"/>
        <c:noMultiLvlLbl val="0"/>
      </c:catAx>
      <c:valAx>
        <c:axId val="665669360"/>
        <c:scaling>
          <c:orientation val="minMax"/>
          <c:min val="8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67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9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535F8-5E84-453F-AF4F-2FF087903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F1E2-A8F1-4285-841A-60C322A6458C}">
  <dimension ref="A1:F44"/>
  <sheetViews>
    <sheetView tabSelected="1" workbookViewId="0">
      <selection activeCell="E13" sqref="E13"/>
    </sheetView>
  </sheetViews>
  <sheetFormatPr defaultRowHeight="14.5" x14ac:dyDescent="0.35"/>
  <cols>
    <col min="1" max="1" width="32.7265625" customWidth="1"/>
    <col min="2" max="5" width="29.08984375" customWidth="1"/>
    <col min="6" max="6" width="25.453125" customWidth="1"/>
    <col min="7" max="7" width="18.1796875" customWidth="1"/>
    <col min="8" max="8" width="25.453125" customWidth="1"/>
    <col min="9" max="9" width="18.1796875" customWidth="1"/>
    <col min="10" max="10" width="23.6328125" customWidth="1"/>
    <col min="11" max="11" width="21.81640625" customWidth="1"/>
    <col min="12" max="12" width="32.7265625" customWidth="1"/>
  </cols>
  <sheetData>
    <row r="1" spans="1:6" ht="18.5" x14ac:dyDescent="0.45">
      <c r="B1" s="41" t="s">
        <v>72</v>
      </c>
      <c r="C1" s="41"/>
      <c r="D1" s="41"/>
      <c r="E1" s="41"/>
    </row>
    <row r="2" spans="1:6" x14ac:dyDescent="0.35">
      <c r="A2" s="29" t="s">
        <v>137</v>
      </c>
      <c r="B2" t="s">
        <v>138</v>
      </c>
      <c r="C2" t="s">
        <v>138</v>
      </c>
      <c r="D2" t="s">
        <v>138</v>
      </c>
      <c r="E2" t="s">
        <v>139</v>
      </c>
    </row>
    <row r="3" spans="1:6" ht="35" customHeight="1" x14ac:dyDescent="0.35">
      <c r="A3" s="4" t="s">
        <v>0</v>
      </c>
      <c r="B3" s="4" t="s">
        <v>16</v>
      </c>
      <c r="C3" s="4" t="s">
        <v>24</v>
      </c>
      <c r="D3" s="4" t="s">
        <v>31</v>
      </c>
      <c r="E3" s="4" t="s">
        <v>37</v>
      </c>
      <c r="F3" s="4" t="s">
        <v>73</v>
      </c>
    </row>
    <row r="4" spans="1:6" ht="80" customHeight="1" x14ac:dyDescent="0.35">
      <c r="A4" s="13"/>
      <c r="B4" s="13" t="s">
        <v>74</v>
      </c>
      <c r="C4" s="13" t="s">
        <v>75</v>
      </c>
      <c r="D4" s="13" t="s">
        <v>76</v>
      </c>
      <c r="E4" s="13" t="s">
        <v>77</v>
      </c>
      <c r="F4" s="2"/>
    </row>
    <row r="5" spans="1:6" x14ac:dyDescent="0.35">
      <c r="A5" s="3" t="s">
        <v>1</v>
      </c>
      <c r="B5" s="3">
        <v>10</v>
      </c>
      <c r="C5" s="3">
        <v>10</v>
      </c>
      <c r="D5" s="3">
        <v>10</v>
      </c>
      <c r="E5" s="3">
        <v>10</v>
      </c>
      <c r="F5" s="2"/>
    </row>
    <row r="6" spans="1:6" x14ac:dyDescent="0.35">
      <c r="A6" s="2"/>
      <c r="B6" s="2"/>
      <c r="C6" s="2"/>
      <c r="D6" s="2"/>
      <c r="E6" s="2"/>
      <c r="F6" s="2"/>
    </row>
    <row r="7" spans="1:6" x14ac:dyDescent="0.35">
      <c r="A7" s="26" t="s">
        <v>78</v>
      </c>
      <c r="B7" s="27">
        <v>73500</v>
      </c>
      <c r="C7" s="27">
        <v>76000</v>
      </c>
      <c r="D7" s="27">
        <v>69500</v>
      </c>
      <c r="E7" s="27">
        <v>68500</v>
      </c>
      <c r="F7" s="28"/>
    </row>
    <row r="8" spans="1:6" x14ac:dyDescent="0.35">
      <c r="A8" s="3" t="s">
        <v>9</v>
      </c>
      <c r="B8" s="14">
        <v>10500</v>
      </c>
      <c r="C8" s="14">
        <v>0</v>
      </c>
      <c r="D8" s="14">
        <v>7000</v>
      </c>
      <c r="E8" s="14">
        <v>7000</v>
      </c>
      <c r="F8" s="2"/>
    </row>
    <row r="9" spans="1:6" x14ac:dyDescent="0.35">
      <c r="A9" s="26" t="s">
        <v>79</v>
      </c>
      <c r="B9" s="28" t="s">
        <v>19</v>
      </c>
      <c r="C9" s="28" t="s">
        <v>80</v>
      </c>
      <c r="D9" s="28" t="s">
        <v>33</v>
      </c>
      <c r="E9" s="28" t="s">
        <v>33</v>
      </c>
      <c r="F9" s="28"/>
    </row>
    <row r="10" spans="1:6" x14ac:dyDescent="0.35">
      <c r="A10" s="15" t="s">
        <v>81</v>
      </c>
      <c r="B10" s="16">
        <f>B7+B8</f>
        <v>84000</v>
      </c>
      <c r="C10" s="16">
        <f>C7+C8</f>
        <v>76000</v>
      </c>
      <c r="D10" s="16">
        <f>D7+D8</f>
        <v>76500</v>
      </c>
      <c r="E10" s="16">
        <f>E7+E8</f>
        <v>75500</v>
      </c>
      <c r="F10" s="2"/>
    </row>
    <row r="11" spans="1:6" x14ac:dyDescent="0.35">
      <c r="A11" s="3"/>
      <c r="B11" s="2"/>
      <c r="C11" s="2"/>
      <c r="D11" s="2"/>
      <c r="E11" s="2"/>
      <c r="F11" s="2"/>
    </row>
    <row r="12" spans="1:6" x14ac:dyDescent="0.35">
      <c r="A12" s="17" t="s">
        <v>82</v>
      </c>
      <c r="B12" s="18">
        <f>B10*B5</f>
        <v>840000</v>
      </c>
      <c r="C12" s="18">
        <f>C10*C5</f>
        <v>760000</v>
      </c>
      <c r="D12" s="18">
        <f>D10*D5</f>
        <v>765000</v>
      </c>
      <c r="E12" s="18">
        <f>E10*E5</f>
        <v>755000</v>
      </c>
      <c r="F12" s="18">
        <f>SUM(B12:E12)</f>
        <v>3120000</v>
      </c>
    </row>
    <row r="13" spans="1:6" x14ac:dyDescent="0.35">
      <c r="A13" s="3" t="s">
        <v>83</v>
      </c>
      <c r="B13" s="14">
        <f>B12*0.18</f>
        <v>151200</v>
      </c>
      <c r="C13" s="14">
        <f>C12*0.18</f>
        <v>136800</v>
      </c>
      <c r="D13" s="14">
        <f>D12*0.18</f>
        <v>137700</v>
      </c>
      <c r="E13" s="14">
        <f>E12*0.18</f>
        <v>135900</v>
      </c>
      <c r="F13" s="14">
        <f>SUM(B13:E13)</f>
        <v>561600</v>
      </c>
    </row>
    <row r="14" spans="1:6" x14ac:dyDescent="0.35">
      <c r="A14" s="19" t="s">
        <v>84</v>
      </c>
      <c r="B14" s="20">
        <f>B12+B13</f>
        <v>991200</v>
      </c>
      <c r="C14" s="20">
        <f>C12+C13</f>
        <v>896800</v>
      </c>
      <c r="D14" s="30">
        <f>D12+D13</f>
        <v>902700</v>
      </c>
      <c r="E14" s="30">
        <f>E12+E13</f>
        <v>890900</v>
      </c>
      <c r="F14" s="20">
        <f>SUM(B14:E14)</f>
        <v>3681600</v>
      </c>
    </row>
    <row r="15" spans="1:6" x14ac:dyDescent="0.35">
      <c r="D15" s="31" t="s">
        <v>141</v>
      </c>
      <c r="E15" s="31" t="s">
        <v>140</v>
      </c>
    </row>
    <row r="16" spans="1:6" x14ac:dyDescent="0.35">
      <c r="A16" s="21" t="s">
        <v>85</v>
      </c>
      <c r="B16" s="2"/>
      <c r="C16" s="2"/>
      <c r="D16" s="2"/>
      <c r="E16" s="2"/>
    </row>
    <row r="17" spans="1:6" x14ac:dyDescent="0.35">
      <c r="A17" s="26" t="s">
        <v>12</v>
      </c>
      <c r="B17" s="28" t="s">
        <v>20</v>
      </c>
      <c r="C17" s="28" t="s">
        <v>28</v>
      </c>
      <c r="D17" s="28" t="s">
        <v>34</v>
      </c>
      <c r="E17" s="28" t="s">
        <v>39</v>
      </c>
    </row>
    <row r="18" spans="1:6" x14ac:dyDescent="0.35">
      <c r="A18" s="3" t="s">
        <v>13</v>
      </c>
      <c r="B18" s="2" t="s">
        <v>21</v>
      </c>
      <c r="C18" s="2" t="s">
        <v>29</v>
      </c>
      <c r="D18" s="2" t="s">
        <v>35</v>
      </c>
      <c r="E18" s="2" t="s">
        <v>40</v>
      </c>
    </row>
    <row r="19" spans="1:6" x14ac:dyDescent="0.35">
      <c r="A19" s="26" t="s">
        <v>14</v>
      </c>
      <c r="B19" s="28" t="s">
        <v>22</v>
      </c>
      <c r="C19" s="28" t="s">
        <v>22</v>
      </c>
      <c r="D19" s="28" t="s">
        <v>22</v>
      </c>
      <c r="E19" s="28" t="s">
        <v>22</v>
      </c>
    </row>
    <row r="20" spans="1:6" ht="35" customHeight="1" x14ac:dyDescent="0.35">
      <c r="A20" s="23" t="s">
        <v>86</v>
      </c>
      <c r="B20" s="22" t="s">
        <v>23</v>
      </c>
      <c r="C20" s="22" t="s">
        <v>30</v>
      </c>
      <c r="D20" s="22" t="s">
        <v>36</v>
      </c>
      <c r="E20" s="22" t="s">
        <v>41</v>
      </c>
    </row>
    <row r="22" spans="1:6" ht="16" x14ac:dyDescent="0.4">
      <c r="A22" s="42" t="s">
        <v>2</v>
      </c>
      <c r="B22" s="42"/>
      <c r="C22" s="42"/>
      <c r="D22" s="42"/>
      <c r="E22" s="42"/>
      <c r="F22" s="42"/>
    </row>
    <row r="24" spans="1:6" x14ac:dyDescent="0.35">
      <c r="A24" s="23" t="s">
        <v>87</v>
      </c>
      <c r="B24" s="24" t="s">
        <v>88</v>
      </c>
      <c r="C24" s="22" t="s">
        <v>28</v>
      </c>
      <c r="D24" s="22" t="s">
        <v>34</v>
      </c>
      <c r="E24" s="22" t="s">
        <v>39</v>
      </c>
    </row>
    <row r="25" spans="1:6" x14ac:dyDescent="0.35">
      <c r="A25" s="3" t="s">
        <v>89</v>
      </c>
      <c r="B25" s="2" t="s">
        <v>90</v>
      </c>
      <c r="C25" s="2" t="s">
        <v>47</v>
      </c>
      <c r="D25" s="2" t="s">
        <v>48</v>
      </c>
      <c r="E25" s="25" t="s">
        <v>91</v>
      </c>
    </row>
    <row r="26" spans="1:6" x14ac:dyDescent="0.35">
      <c r="A26" s="3" t="s">
        <v>92</v>
      </c>
      <c r="B26" s="2" t="s">
        <v>93</v>
      </c>
      <c r="C26" s="25" t="s">
        <v>94</v>
      </c>
      <c r="D26" s="2" t="s">
        <v>33</v>
      </c>
      <c r="E26" s="2" t="s">
        <v>33</v>
      </c>
    </row>
    <row r="27" spans="1:6" x14ac:dyDescent="0.35">
      <c r="A27" s="3" t="s">
        <v>95</v>
      </c>
      <c r="B27" s="2" t="s">
        <v>96</v>
      </c>
      <c r="C27" s="2" t="s">
        <v>58</v>
      </c>
      <c r="D27" s="25" t="s">
        <v>97</v>
      </c>
      <c r="E27" s="2" t="s">
        <v>98</v>
      </c>
    </row>
    <row r="28" spans="1:6" x14ac:dyDescent="0.35">
      <c r="A28" s="3" t="s">
        <v>99</v>
      </c>
      <c r="B28" s="2" t="s">
        <v>100</v>
      </c>
      <c r="C28" s="2" t="s">
        <v>101</v>
      </c>
      <c r="D28" s="2" t="s">
        <v>100</v>
      </c>
      <c r="E28" s="2" t="s">
        <v>102</v>
      </c>
    </row>
    <row r="30" spans="1:6" ht="16" x14ac:dyDescent="0.4">
      <c r="A30" s="43" t="s">
        <v>103</v>
      </c>
      <c r="B30" s="43"/>
      <c r="C30" s="43"/>
      <c r="D30" s="43"/>
      <c r="E30" s="43"/>
      <c r="F30" s="43"/>
    </row>
    <row r="32" spans="1:6" x14ac:dyDescent="0.35">
      <c r="A32" s="1" t="s">
        <v>104</v>
      </c>
      <c r="B32" s="36" t="s">
        <v>105</v>
      </c>
      <c r="C32" s="36"/>
      <c r="D32" s="36"/>
      <c r="E32" s="36"/>
      <c r="F32" s="36"/>
    </row>
    <row r="33" spans="1:6" x14ac:dyDescent="0.35">
      <c r="A33" s="1" t="s">
        <v>106</v>
      </c>
      <c r="B33" s="36" t="s">
        <v>107</v>
      </c>
      <c r="C33" s="36"/>
      <c r="D33" s="36"/>
      <c r="E33" s="36"/>
      <c r="F33" s="36"/>
    </row>
    <row r="34" spans="1:6" x14ac:dyDescent="0.35">
      <c r="A34" s="1" t="s">
        <v>108</v>
      </c>
      <c r="B34" s="35" t="s">
        <v>109</v>
      </c>
      <c r="C34" s="35"/>
      <c r="D34" s="35"/>
      <c r="E34" s="35"/>
      <c r="F34" s="35"/>
    </row>
    <row r="35" spans="1:6" x14ac:dyDescent="0.35">
      <c r="A35" s="1" t="s">
        <v>110</v>
      </c>
      <c r="B35" s="36" t="s">
        <v>111</v>
      </c>
      <c r="C35" s="36"/>
      <c r="D35" s="36"/>
      <c r="E35" s="36"/>
      <c r="F35" s="36"/>
    </row>
    <row r="37" spans="1:6" ht="57" customHeight="1" x14ac:dyDescent="0.35">
      <c r="A37" s="12" t="s">
        <v>112</v>
      </c>
      <c r="B37" s="37" t="s">
        <v>113</v>
      </c>
      <c r="C37" s="38"/>
      <c r="D37" s="38"/>
      <c r="E37" s="38"/>
      <c r="F37" s="38"/>
    </row>
    <row r="39" spans="1:6" x14ac:dyDescent="0.35">
      <c r="A39" s="39" t="s">
        <v>114</v>
      </c>
      <c r="B39" s="39"/>
      <c r="C39" s="39"/>
      <c r="D39" s="39"/>
      <c r="E39" s="39"/>
      <c r="F39" s="40"/>
    </row>
    <row r="40" spans="1:6" x14ac:dyDescent="0.35">
      <c r="A40" s="3" t="s">
        <v>115</v>
      </c>
      <c r="B40" s="2" t="s">
        <v>16</v>
      </c>
      <c r="C40" s="2" t="s">
        <v>24</v>
      </c>
      <c r="D40" s="2" t="s">
        <v>31</v>
      </c>
      <c r="E40" s="2" t="s">
        <v>116</v>
      </c>
    </row>
    <row r="41" spans="1:6" ht="45" customHeight="1" x14ac:dyDescent="0.35">
      <c r="A41" s="23" t="s">
        <v>117</v>
      </c>
      <c r="B41" s="22" t="s">
        <v>118</v>
      </c>
      <c r="C41" s="22" t="s">
        <v>119</v>
      </c>
      <c r="D41" s="22" t="s">
        <v>120</v>
      </c>
      <c r="E41" s="22" t="s">
        <v>121</v>
      </c>
    </row>
    <row r="42" spans="1:6" x14ac:dyDescent="0.35">
      <c r="A42" s="3" t="s">
        <v>122</v>
      </c>
      <c r="B42" s="2" t="s">
        <v>123</v>
      </c>
      <c r="C42" s="2" t="s">
        <v>124</v>
      </c>
      <c r="D42" s="2" t="s">
        <v>125</v>
      </c>
      <c r="E42" s="2" t="s">
        <v>126</v>
      </c>
    </row>
    <row r="43" spans="1:6" x14ac:dyDescent="0.35">
      <c r="A43" s="3" t="s">
        <v>127</v>
      </c>
      <c r="B43" s="2" t="s">
        <v>128</v>
      </c>
      <c r="C43" s="2" t="s">
        <v>129</v>
      </c>
      <c r="D43" s="2" t="s">
        <v>130</v>
      </c>
      <c r="E43" s="2" t="s">
        <v>131</v>
      </c>
    </row>
    <row r="44" spans="1:6" x14ac:dyDescent="0.35">
      <c r="A44" s="3" t="s">
        <v>132</v>
      </c>
      <c r="B44" s="2" t="s">
        <v>133</v>
      </c>
      <c r="C44" s="2" t="s">
        <v>134</v>
      </c>
      <c r="D44" s="2" t="s">
        <v>135</v>
      </c>
      <c r="E44" s="2" t="s">
        <v>136</v>
      </c>
    </row>
  </sheetData>
  <mergeCells count="9">
    <mergeCell ref="B34:F34"/>
    <mergeCell ref="B35:F35"/>
    <mergeCell ref="B37:F37"/>
    <mergeCell ref="A39:F39"/>
    <mergeCell ref="B1:E1"/>
    <mergeCell ref="A22:F22"/>
    <mergeCell ref="A30:F30"/>
    <mergeCell ref="B32:F32"/>
    <mergeCell ref="B33:F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346B-BC00-4621-92F6-53BDE90191E5}">
  <dimension ref="A1:O25"/>
  <sheetViews>
    <sheetView workbookViewId="0">
      <selection activeCell="Q4" sqref="Q4"/>
    </sheetView>
  </sheetViews>
  <sheetFormatPr defaultRowHeight="14.5" x14ac:dyDescent="0.35"/>
  <cols>
    <col min="1" max="1" width="16.36328125" bestFit="1" customWidth="1"/>
    <col min="2" max="2" width="13.26953125" bestFit="1" customWidth="1"/>
    <col min="3" max="3" width="11.26953125" bestFit="1" customWidth="1"/>
    <col min="4" max="4" width="28.1796875" bestFit="1" customWidth="1"/>
    <col min="5" max="5" width="15.81640625" bestFit="1" customWidth="1"/>
    <col min="6" max="6" width="19.7265625" bestFit="1" customWidth="1"/>
    <col min="8" max="8" width="12.1796875" bestFit="1" customWidth="1"/>
    <col min="9" max="9" width="8.36328125" bestFit="1" customWidth="1"/>
    <col min="10" max="10" width="8.453125" bestFit="1" customWidth="1"/>
    <col min="11" max="11" width="8.1796875" bestFit="1" customWidth="1"/>
    <col min="12" max="12" width="11.54296875" bestFit="1" customWidth="1"/>
    <col min="14" max="14" width="22.54296875" bestFit="1" customWidth="1"/>
    <col min="15" max="15" width="12.1796875" bestFit="1" customWidth="1"/>
  </cols>
  <sheetData>
    <row r="1" spans="1:15" ht="18.5" x14ac:dyDescent="0.45">
      <c r="A1" s="41" t="s">
        <v>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N1" s="32" t="s">
        <v>69</v>
      </c>
      <c r="O1" s="32" t="s">
        <v>70</v>
      </c>
    </row>
    <row r="2" spans="1:15" x14ac:dyDescent="0.35">
      <c r="N2" s="33" t="s">
        <v>16</v>
      </c>
      <c r="O2" s="34">
        <v>991200</v>
      </c>
    </row>
    <row r="3" spans="1:15" ht="45" customHeight="1" x14ac:dyDescent="0.3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N3" s="33" t="s">
        <v>24</v>
      </c>
      <c r="O3" s="34">
        <v>896800</v>
      </c>
    </row>
    <row r="4" spans="1:15" ht="50" customHeight="1" x14ac:dyDescent="0.35">
      <c r="A4" s="9">
        <v>1</v>
      </c>
      <c r="B4" s="9" t="s">
        <v>16</v>
      </c>
      <c r="C4" s="9" t="s">
        <v>17</v>
      </c>
      <c r="D4" s="9" t="s">
        <v>18</v>
      </c>
      <c r="E4" s="10">
        <v>73500</v>
      </c>
      <c r="F4" s="10">
        <v>10500</v>
      </c>
      <c r="G4" s="9" t="s">
        <v>19</v>
      </c>
      <c r="H4" s="10">
        <v>991200</v>
      </c>
      <c r="I4" s="9" t="s">
        <v>20</v>
      </c>
      <c r="J4" s="9" t="s">
        <v>21</v>
      </c>
      <c r="K4" s="9" t="s">
        <v>22</v>
      </c>
      <c r="L4" s="9" t="s">
        <v>23</v>
      </c>
      <c r="N4" s="33" t="s">
        <v>31</v>
      </c>
      <c r="O4" s="34">
        <v>902700</v>
      </c>
    </row>
    <row r="5" spans="1:15" ht="50" customHeight="1" x14ac:dyDescent="0.35">
      <c r="A5" s="5">
        <v>2</v>
      </c>
      <c r="B5" s="5" t="s">
        <v>24</v>
      </c>
      <c r="C5" s="5" t="s">
        <v>25</v>
      </c>
      <c r="D5" s="5" t="s">
        <v>26</v>
      </c>
      <c r="E5" s="6">
        <v>76000</v>
      </c>
      <c r="F5" s="6">
        <v>0</v>
      </c>
      <c r="G5" s="5" t="s">
        <v>27</v>
      </c>
      <c r="H5" s="6">
        <v>896800</v>
      </c>
      <c r="I5" s="5" t="s">
        <v>28</v>
      </c>
      <c r="J5" s="5" t="s">
        <v>29</v>
      </c>
      <c r="K5" s="5" t="s">
        <v>22</v>
      </c>
      <c r="L5" s="5" t="s">
        <v>30</v>
      </c>
      <c r="N5" s="33" t="s">
        <v>37</v>
      </c>
      <c r="O5" s="34">
        <v>890900</v>
      </c>
    </row>
    <row r="6" spans="1:15" ht="50" customHeight="1" x14ac:dyDescent="0.35">
      <c r="A6" s="9">
        <v>3</v>
      </c>
      <c r="B6" s="9" t="s">
        <v>31</v>
      </c>
      <c r="C6" s="9" t="s">
        <v>17</v>
      </c>
      <c r="D6" s="9" t="s">
        <v>32</v>
      </c>
      <c r="E6" s="10">
        <v>69500</v>
      </c>
      <c r="F6" s="10">
        <v>7000</v>
      </c>
      <c r="G6" s="9" t="s">
        <v>33</v>
      </c>
      <c r="H6" s="10">
        <v>902700</v>
      </c>
      <c r="I6" s="9" t="s">
        <v>34</v>
      </c>
      <c r="J6" s="9" t="s">
        <v>35</v>
      </c>
      <c r="K6" s="9" t="s">
        <v>22</v>
      </c>
      <c r="L6" s="9" t="s">
        <v>36</v>
      </c>
    </row>
    <row r="7" spans="1:15" ht="50" customHeight="1" x14ac:dyDescent="0.35">
      <c r="A7" s="5">
        <v>4</v>
      </c>
      <c r="B7" s="5" t="s">
        <v>37</v>
      </c>
      <c r="C7" s="5" t="s">
        <v>17</v>
      </c>
      <c r="D7" s="5" t="s">
        <v>38</v>
      </c>
      <c r="E7" s="6">
        <v>68500</v>
      </c>
      <c r="F7" s="6">
        <v>7000</v>
      </c>
      <c r="G7" s="5" t="s">
        <v>33</v>
      </c>
      <c r="H7" s="8">
        <v>890900</v>
      </c>
      <c r="I7" s="5" t="s">
        <v>39</v>
      </c>
      <c r="J7" s="5" t="s">
        <v>40</v>
      </c>
      <c r="K7" s="5" t="s">
        <v>22</v>
      </c>
      <c r="L7" s="5" t="s">
        <v>41</v>
      </c>
    </row>
    <row r="8" spans="1:15" x14ac:dyDescent="0.35">
      <c r="N8" s="11" t="s">
        <v>71</v>
      </c>
    </row>
    <row r="10" spans="1:15" ht="16" x14ac:dyDescent="0.4">
      <c r="A10" s="42" t="s">
        <v>42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</row>
    <row r="12" spans="1:15" x14ac:dyDescent="0.35">
      <c r="A12" s="7" t="s">
        <v>43</v>
      </c>
      <c r="B12" s="7" t="s">
        <v>16</v>
      </c>
      <c r="C12" s="7" t="s">
        <v>24</v>
      </c>
      <c r="D12" s="7" t="s">
        <v>31</v>
      </c>
      <c r="E12" s="7" t="s">
        <v>37</v>
      </c>
      <c r="F12" s="7" t="s">
        <v>44</v>
      </c>
    </row>
    <row r="13" spans="1:15" x14ac:dyDescent="0.35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49</v>
      </c>
      <c r="F13" s="2" t="s">
        <v>37</v>
      </c>
    </row>
    <row r="14" spans="1:15" x14ac:dyDescent="0.35">
      <c r="A14" s="2" t="s">
        <v>50</v>
      </c>
      <c r="B14" s="2" t="s">
        <v>19</v>
      </c>
      <c r="C14" s="2" t="s">
        <v>51</v>
      </c>
      <c r="D14" s="2" t="s">
        <v>33</v>
      </c>
      <c r="E14" s="2" t="s">
        <v>33</v>
      </c>
      <c r="F14" s="2" t="s">
        <v>52</v>
      </c>
    </row>
    <row r="15" spans="1:15" x14ac:dyDescent="0.35">
      <c r="A15" s="2" t="s">
        <v>53</v>
      </c>
      <c r="B15" s="2" t="s">
        <v>54</v>
      </c>
      <c r="C15" s="2" t="s">
        <v>28</v>
      </c>
      <c r="D15" s="2" t="s">
        <v>55</v>
      </c>
      <c r="E15" s="2" t="s">
        <v>39</v>
      </c>
      <c r="F15" s="2" t="s">
        <v>16</v>
      </c>
    </row>
    <row r="16" spans="1:15" x14ac:dyDescent="0.35">
      <c r="A16" s="3" t="s">
        <v>56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31</v>
      </c>
    </row>
    <row r="17" spans="1:12" x14ac:dyDescent="0.35">
      <c r="A17" s="2" t="s">
        <v>13</v>
      </c>
      <c r="B17" s="2" t="s">
        <v>61</v>
      </c>
      <c r="C17" s="2" t="s">
        <v>54</v>
      </c>
      <c r="D17" s="2" t="s">
        <v>62</v>
      </c>
      <c r="E17" s="2" t="s">
        <v>63</v>
      </c>
      <c r="F17" s="2" t="s">
        <v>16</v>
      </c>
    </row>
    <row r="20" spans="1:12" ht="16" x14ac:dyDescent="0.4">
      <c r="A20" s="43" t="s">
        <v>64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2" spans="1:12" ht="25" customHeight="1" x14ac:dyDescent="0.35">
      <c r="A22" s="45" t="s">
        <v>65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3" spans="1:12" ht="25" customHeight="1" x14ac:dyDescent="0.35">
      <c r="A23" s="44" t="s">
        <v>66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</row>
    <row r="24" spans="1:12" ht="25" customHeight="1" x14ac:dyDescent="0.35">
      <c r="A24" s="45" t="s">
        <v>67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</row>
    <row r="25" spans="1:12" ht="25" customHeight="1" x14ac:dyDescent="0.35">
      <c r="A25" s="44" t="s">
        <v>68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</row>
  </sheetData>
  <mergeCells count="7">
    <mergeCell ref="A23:L23"/>
    <mergeCell ref="A24:L24"/>
    <mergeCell ref="A25:L25"/>
    <mergeCell ref="A1:L1"/>
    <mergeCell ref="A10:L10"/>
    <mergeCell ref="A20:L20"/>
    <mergeCell ref="A22:L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 Comparison</vt:lpstr>
      <vt:lpstr>Detailed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 Karande</dc:creator>
  <cp:lastModifiedBy>Dnyaneshwar Karande</cp:lastModifiedBy>
  <dcterms:created xsi:type="dcterms:W3CDTF">2026-07-17T05:36:55Z</dcterms:created>
  <dcterms:modified xsi:type="dcterms:W3CDTF">2026-08-13T06:44:43Z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2026-07-17T05:37:08Z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041ae53c-84e1-4f66-8391-ed5676a12d72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