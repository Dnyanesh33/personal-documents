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kforceinternational-my.sharepoint.com/personal/dnyaneshwar_karande_kforce_co_in/Documents/Documents/All Quotations/MacPro_24_48_Ipad/"/>
    </mc:Choice>
  </mc:AlternateContent>
  <xr:revisionPtr revIDLastSave="0" documentId="8_{6754B2F1-5728-4542-8203-F819F966B0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ecutive Summary" sheetId="1" r:id="rId1"/>
    <sheet name="MacBook 24GB Comparison" sheetId="2" r:id="rId2"/>
    <sheet name="MacBook 48GB Comparison" sheetId="3" r:id="rId3"/>
    <sheet name="iPad Bundle Comparison" sheetId="4" r:id="rId4"/>
  </sheets>
  <definedNames>
    <definedName name="_xlnm._FilterDatabase" localSheetId="1" hidden="1">'MacBook 24GB Comparison'!$A$2:$M$5</definedName>
    <definedName name="_xlnm._FilterDatabase" localSheetId="2" hidden="1">'MacBook 48GB Comparison'!$A$2:$M$5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B8" i="4"/>
  <c r="F6" i="4"/>
  <c r="F5" i="4"/>
  <c r="F4" i="4"/>
  <c r="F3" i="4"/>
  <c r="G5" i="3"/>
  <c r="G4" i="3"/>
  <c r="G3" i="3"/>
  <c r="G5" i="2"/>
  <c r="G4" i="2"/>
  <c r="G3" i="2"/>
  <c r="H3" i="2" l="1"/>
  <c r="I3" i="2" s="1"/>
  <c r="H4" i="2"/>
  <c r="I4" i="2" s="1"/>
  <c r="H5" i="2"/>
  <c r="I5" i="2" s="1"/>
  <c r="H3" i="3"/>
  <c r="I3" i="3" s="1"/>
  <c r="H4" i="3"/>
  <c r="I4" i="3" s="1"/>
  <c r="H5" i="3"/>
  <c r="I5" i="3" s="1"/>
  <c r="C8" i="4"/>
  <c r="G3" i="4"/>
  <c r="G4" i="4"/>
  <c r="H4" i="4" s="1"/>
  <c r="C9" i="4"/>
  <c r="G5" i="4"/>
  <c r="G6" i="4"/>
  <c r="H6" i="4" s="1"/>
  <c r="D9" i="4" l="1"/>
  <c r="H5" i="4"/>
  <c r="E9" i="4" s="1"/>
  <c r="D8" i="4"/>
  <c r="H3" i="4"/>
  <c r="E8" i="4" s="1"/>
  <c r="F8" i="4" l="1"/>
  <c r="F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E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Source: Conquer quotation dated 16-Sep-2026</t>
        </r>
      </text>
    </comment>
    <comment ref="E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Source: GNR quotation dated 16-Sep-2026</t>
        </r>
      </text>
    </comment>
    <comment ref="E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Source: Turbonet quotation; required quantity total extrapolated from unit price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E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Source: Conquer quotation dated 16-Sep-2026</t>
        </r>
      </text>
    </comment>
    <comment ref="E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Source: GNR quotation dated 16-Sep-2026</t>
        </r>
      </text>
    </comment>
    <comment ref="E5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Source: Turbonet quotation; required quantity total extrapolated from unit price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E3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Source: Conquer quotation dated 16-Sep-2026</t>
        </r>
      </text>
    </comment>
    <comment ref="E5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Source: GNR quotation dated 16-Sep-2026</t>
        </r>
      </text>
    </comment>
  </commentList>
</comments>
</file>

<file path=xl/sharedStrings.xml><?xml version="1.0" encoding="utf-8"?>
<sst xmlns="http://schemas.openxmlformats.org/spreadsheetml/2006/main" count="149" uniqueCount="74">
  <si>
    <t>Apple Procurement - Executive Comparison</t>
  </si>
  <si>
    <t>Category</t>
  </si>
  <si>
    <t>Required Qty</t>
  </si>
  <si>
    <t>Recommended Vendor</t>
  </si>
  <si>
    <t>Lowest Total Incl. GST</t>
  </si>
  <si>
    <t>Next Best</t>
  </si>
  <si>
    <t>Savings vs Next Best</t>
  </si>
  <si>
    <t>MacBook Pro 24GB</t>
  </si>
  <si>
    <t>Conquer Technologies</t>
  </si>
  <si>
    <t>GNR Solution Pvt. Ltd.</t>
  </si>
  <si>
    <t>MacBook Pro 48GB</t>
  </si>
  <si>
    <t>Turbonet Systems Pvt. Ltd.</t>
  </si>
  <si>
    <t>iPad 128GB + Keyboard</t>
  </si>
  <si>
    <t>OVERALL RECOMMENDATION</t>
  </si>
  <si>
    <t xml:space="preserve">Proceed with Conquer Technologies for commercial evaluation because it is the lowest across 24GB, 48GB, and iPad bundle comparisons. </t>
  </si>
  <si>
    <t>MacBook 24GB Comparison</t>
  </si>
  <si>
    <t>Vendor</t>
  </si>
  <si>
    <t>Part No.</t>
  </si>
  <si>
    <t>Specification</t>
  </si>
  <si>
    <t>Unit Price Excl. GST</t>
  </si>
  <si>
    <t>GST %</t>
  </si>
  <si>
    <t>Subtotal Excl. GST</t>
  </si>
  <si>
    <t>GST Amount</t>
  </si>
  <si>
    <t>Total Incl. GST</t>
  </si>
  <si>
    <t>Delivery</t>
  </si>
  <si>
    <t>Payment</t>
  </si>
  <si>
    <t>Validity / Status</t>
  </si>
  <si>
    <t>Evaluation</t>
  </si>
  <si>
    <t>1PMGEA4HN/A</t>
  </si>
  <si>
    <t>16-inch MacBook Pro, M5 Pro 18-core CPU/20-core GPU, 24GB, 1TB, Space Black</t>
  </si>
  <si>
    <t>1-2 weeks</t>
  </si>
  <si>
    <t>100% Advance / Immediate</t>
  </si>
  <si>
    <t>1 week from 16-Sep-2026</t>
  </si>
  <si>
    <t>1 year</t>
  </si>
  <si>
    <t>MGEA4HN/A</t>
  </si>
  <si>
    <t>16-inch MacBook Pro, M5 Pro 18-core CPU/20-core GPU, 24GB, 1TB</t>
  </si>
  <si>
    <t>1 week from PO</t>
  </si>
  <si>
    <t>30 days</t>
  </si>
  <si>
    <t>3 days from 16-Sep-2026</t>
  </si>
  <si>
    <t>Not specified</t>
  </si>
  <si>
    <t>16-inch MacBook Pro, M5 Pro 18-core CPU/20-core GPU, 24GB, 1TB, Space Black/Silver</t>
  </si>
  <si>
    <t>10-15 days from PO and payment</t>
  </si>
  <si>
    <t>100% Advance</t>
  </si>
  <si>
    <t>Expired 15-Aug-2026</t>
  </si>
  <si>
    <t>FINAL RECOMMENDATION</t>
  </si>
  <si>
    <t xml:space="preserve">Recommend Conquer Technologies based on the lowest evaluated total and a current quotation. </t>
  </si>
  <si>
    <t>MacBook 48GB Comparison</t>
  </si>
  <si>
    <t>1PMGEC4HN/A</t>
  </si>
  <si>
    <t>16-inch MacBook Pro, M5 Pro 18-core CPU/20-core GPU, 48GB, 1TB, Space Black</t>
  </si>
  <si>
    <t>MGEC4HN/A</t>
  </si>
  <si>
    <t>16-inch MacBook Pro, M5 Pro 18-core CPU/20-core GPU, 48GB, 1TB</t>
  </si>
  <si>
    <t>5-7 days from PO and payment</t>
  </si>
  <si>
    <t>Expired 12-Aug-2026</t>
  </si>
  <si>
    <t>iPad + Keyboard Bundle Comparison</t>
  </si>
  <si>
    <t>Item</t>
  </si>
  <si>
    <t>Qty</t>
  </si>
  <si>
    <t>Validity</t>
  </si>
  <si>
    <t>iPad 11-inch Wi-Fi 128GB Silver</t>
  </si>
  <si>
    <t>1PMD3Y4HN/A</t>
  </si>
  <si>
    <t>Magic Keyboard Folio, US English</t>
  </si>
  <si>
    <t>1PMQDP3HN/A</t>
  </si>
  <si>
    <t>iPad 11-inch Wi-Fi 128GB Silver, A16</t>
  </si>
  <si>
    <t>MD3Y4HN/A</t>
  </si>
  <si>
    <t>Magic Keyboard Folio, White</t>
  </si>
  <si>
    <t>MQDP3HN/A</t>
  </si>
  <si>
    <t>Bundle Qty</t>
  </si>
  <si>
    <t>Bundle Excl. GST</t>
  </si>
  <si>
    <t>Bundle Incl. GST</t>
  </si>
  <si>
    <t>Price Rank</t>
  </si>
  <si>
    <t>Recommendation</t>
  </si>
  <si>
    <t>Current</t>
  </si>
  <si>
    <t>Recommended on price, subject to compatibility and stock confirmation</t>
  </si>
  <si>
    <t>Better payment term, but higher bundle price</t>
  </si>
  <si>
    <t xml:space="preserve">FINAL: Conquer is lower for the iPad + keyboard bundle.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</si>
</sst>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;[Red]\(\₹#,##0.00\);\-"/>
    <numFmt numFmtId="165" formatCode="\₹#,##0.00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6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2"/>
      <color rgb="FFFFFFFF"/>
      <name val="Calibri"/>
    </font>
    <font>
      <b/>
      <sz val="12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1F1F1F"/>
      <name val="Calibri"/>
    </font>
    <font>
      <b/>
      <sz val="11"/>
      <color rgb="FF37562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medium">
        <color rgb="FF17365D"/>
      </left>
      <right style="thin">
        <color rgb="FFA6A6A6"/>
      </right>
      <top style="medium">
        <color rgb="FF17365D"/>
      </top>
      <bottom/>
      <diagonal/>
    </border>
    <border>
      <left style="thin">
        <color rgb="FFA6A6A6"/>
      </left>
      <right style="thin">
        <color rgb="FFA6A6A6"/>
      </right>
      <top style="medium">
        <color rgb="FF17365D"/>
      </top>
      <bottom/>
      <diagonal/>
    </border>
    <border>
      <left style="thin">
        <color rgb="FFA6A6A6"/>
      </left>
      <right style="medium">
        <color rgb="FF17365D"/>
      </right>
      <top style="medium">
        <color rgb="FF17365D"/>
      </top>
      <bottom/>
      <diagonal/>
    </border>
    <border>
      <left style="thin">
        <color rgb="FFA6A6A6"/>
      </left>
      <right style="thin">
        <color rgb="FFA6A6A6"/>
      </right>
      <top style="medium">
        <color rgb="FF2F5597"/>
      </top>
      <bottom style="medium">
        <color rgb="FF2F5597"/>
      </bottom>
      <diagonal/>
    </border>
    <border>
      <left style="medium">
        <color rgb="FF2F5597"/>
      </left>
      <right style="thin">
        <color rgb="FFA6A6A6"/>
      </right>
      <top style="medium">
        <color rgb="FF2F5597"/>
      </top>
      <bottom style="medium">
        <color rgb="FF2F5597"/>
      </bottom>
      <diagonal/>
    </border>
    <border>
      <left style="thin">
        <color rgb="FFA6A6A6"/>
      </left>
      <right style="medium">
        <color rgb="FF2F5597"/>
      </right>
      <top style="medium">
        <color rgb="FF2F5597"/>
      </top>
      <bottom style="medium">
        <color rgb="FF2F5597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rgb="FF2F5597"/>
      </top>
      <bottom/>
      <diagonal/>
    </border>
    <border>
      <left style="thin">
        <color rgb="FFA6A6A6"/>
      </left>
      <right style="thin">
        <color rgb="FFA6A6A6"/>
      </right>
      <top style="medium">
        <color rgb="FF70AD47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rgb="FF70AD47"/>
      </top>
      <bottom style="medium">
        <color rgb="FF70AD47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70AD47"/>
      </bottom>
      <diagonal/>
    </border>
    <border>
      <left style="medium">
        <color rgb="FF70AD47"/>
      </left>
      <right style="thin">
        <color rgb="FFA6A6A6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thin">
        <color rgb="FFA6A6A6"/>
      </right>
      <top style="medium">
        <color rgb="FF70AD47"/>
      </top>
      <bottom style="thin">
        <color rgb="FFA6A6A6"/>
      </bottom>
      <diagonal/>
    </border>
    <border>
      <left style="medium">
        <color rgb="FF70AD47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70AD47"/>
      </left>
      <right style="thin">
        <color rgb="FFA6A6A6"/>
      </right>
      <top style="thin">
        <color rgb="FFA6A6A6"/>
      </top>
      <bottom style="medium">
        <color rgb="FF70AD47"/>
      </bottom>
      <diagonal/>
    </border>
    <border>
      <left style="thin">
        <color rgb="FFA6A6A6"/>
      </left>
      <right style="medium">
        <color rgb="FF70AD47"/>
      </right>
      <top style="medium">
        <color rgb="FF70AD47"/>
      </top>
      <bottom style="thin">
        <color rgb="FFA6A6A6"/>
      </bottom>
      <diagonal/>
    </border>
    <border>
      <left style="thin">
        <color rgb="FFA6A6A6"/>
      </left>
      <right style="medium">
        <color rgb="FF70AD47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rgb="FF70AD47"/>
      </right>
      <top style="thin">
        <color rgb="FFA6A6A6"/>
      </top>
      <bottom style="medium">
        <color rgb="FF70AD47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medium">
        <color rgb="FF375623"/>
      </left>
      <right style="thin">
        <color rgb="FFA6A6A6"/>
      </right>
      <top style="medium">
        <color rgb="FF375623"/>
      </top>
      <bottom/>
      <diagonal/>
    </border>
    <border>
      <left style="thin">
        <color rgb="FFA6A6A6"/>
      </left>
      <right style="thin">
        <color rgb="FFA6A6A6"/>
      </right>
      <top style="medium">
        <color rgb="FF375623"/>
      </top>
      <bottom/>
      <diagonal/>
    </border>
    <border>
      <left style="thin">
        <color rgb="FFA6A6A6"/>
      </left>
      <right style="medium">
        <color rgb="FF375623"/>
      </right>
      <top style="medium">
        <color rgb="FF375623"/>
      </top>
      <bottom/>
      <diagonal/>
    </border>
    <border>
      <left style="thin">
        <color rgb="FFA6A6A6"/>
      </left>
      <right style="thin">
        <color rgb="FFA6A6A6"/>
      </right>
      <top style="medium">
        <color rgb="FF548235"/>
      </top>
      <bottom style="medium">
        <color rgb="FF548235"/>
      </bottom>
      <diagonal/>
    </border>
    <border>
      <left style="medium">
        <color rgb="FF548235"/>
      </left>
      <right style="thin">
        <color rgb="FFA6A6A6"/>
      </right>
      <top style="medium">
        <color rgb="FF548235"/>
      </top>
      <bottom style="medium">
        <color rgb="FF548235"/>
      </bottom>
      <diagonal/>
    </border>
    <border>
      <left style="thin">
        <color rgb="FFA6A6A6"/>
      </left>
      <right style="medium">
        <color rgb="FF548235"/>
      </right>
      <top style="medium">
        <color rgb="FF548235"/>
      </top>
      <bottom style="medium">
        <color rgb="FF548235"/>
      </bottom>
      <diagonal/>
    </border>
    <border>
      <left style="medium">
        <color rgb="FF2F5597"/>
      </left>
      <right style="thin">
        <color rgb="FFA6A6A6"/>
      </right>
      <top style="medium">
        <color rgb="FF2F5597"/>
      </top>
      <bottom/>
      <diagonal/>
    </border>
    <border>
      <left style="thin">
        <color rgb="FFA6A6A6"/>
      </left>
      <right style="medium">
        <color rgb="FF2F5597"/>
      </right>
      <top style="medium">
        <color rgb="FF2F5597"/>
      </top>
      <bottom/>
      <diagonal/>
    </border>
    <border>
      <left style="thin">
        <color rgb="FFA6A6A6"/>
      </left>
      <right style="medium">
        <color rgb="FF70AD47"/>
      </right>
      <top style="medium">
        <color rgb="FF70AD47"/>
      </top>
      <bottom style="medium">
        <color rgb="FF70AD47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3" xfId="0" applyBorder="1"/>
    <xf numFmtId="0" fontId="1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164" fontId="8" fillId="8" borderId="4" xfId="0" applyNumberFormat="1" applyFont="1" applyFill="1" applyBorder="1" applyAlignment="1">
      <alignment vertical="center" wrapText="1"/>
    </xf>
    <xf numFmtId="165" fontId="8" fillId="8" borderId="4" xfId="0" applyNumberFormat="1" applyFont="1" applyFill="1" applyBorder="1" applyAlignment="1">
      <alignment vertical="center" wrapText="1"/>
    </xf>
    <xf numFmtId="165" fontId="8" fillId="8" borderId="2" xfId="0" applyNumberFormat="1" applyFont="1" applyFill="1" applyBorder="1" applyAlignment="1">
      <alignment vertical="center" wrapText="1"/>
    </xf>
    <xf numFmtId="0" fontId="8" fillId="8" borderId="4" xfId="0" applyFont="1" applyFill="1" applyBorder="1" applyAlignment="1">
      <alignment vertical="center" wrapText="1"/>
    </xf>
    <xf numFmtId="0" fontId="8" fillId="8" borderId="2" xfId="0" applyFont="1" applyFill="1" applyBorder="1" applyAlignment="1">
      <alignment vertical="center" wrapText="1"/>
    </xf>
    <xf numFmtId="0" fontId="8" fillId="8" borderId="1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164" fontId="8" fillId="8" borderId="12" xfId="0" applyNumberFormat="1" applyFont="1" applyFill="1" applyBorder="1" applyAlignment="1">
      <alignment vertical="center" wrapText="1"/>
    </xf>
    <xf numFmtId="164" fontId="8" fillId="8" borderId="3" xfId="0" applyNumberFormat="1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vertical="center" wrapText="1"/>
    </xf>
    <xf numFmtId="0" fontId="5" fillId="6" borderId="16" xfId="0" applyFont="1" applyFill="1" applyBorder="1" applyAlignment="1">
      <alignment vertical="center" wrapText="1"/>
    </xf>
    <xf numFmtId="0" fontId="5" fillId="6" borderId="18" xfId="0" applyFont="1" applyFill="1" applyBorder="1" applyAlignment="1">
      <alignment vertical="center" wrapText="1"/>
    </xf>
    <xf numFmtId="0" fontId="5" fillId="6" borderId="19" xfId="0" applyFont="1" applyFill="1" applyBorder="1" applyAlignment="1">
      <alignment vertical="center" wrapText="1"/>
    </xf>
    <xf numFmtId="0" fontId="5" fillId="6" borderId="20" xfId="0" applyFont="1" applyFill="1" applyBorder="1" applyAlignment="1">
      <alignment vertical="center" wrapText="1"/>
    </xf>
    <xf numFmtId="165" fontId="5" fillId="6" borderId="21" xfId="0" applyNumberFormat="1" applyFont="1" applyFill="1" applyBorder="1" applyAlignment="1">
      <alignment vertical="center" wrapText="1"/>
    </xf>
    <xf numFmtId="165" fontId="5" fillId="6" borderId="22" xfId="0" applyNumberFormat="1" applyFont="1" applyFill="1" applyBorder="1" applyAlignment="1">
      <alignment vertical="center" wrapText="1"/>
    </xf>
    <xf numFmtId="165" fontId="5" fillId="6" borderId="23" xfId="0" applyNumberFormat="1" applyFont="1" applyFill="1" applyBorder="1" applyAlignment="1">
      <alignment vertical="center" wrapText="1"/>
    </xf>
    <xf numFmtId="0" fontId="0" fillId="0" borderId="24" xfId="0" applyBorder="1"/>
    <xf numFmtId="0" fontId="0" fillId="0" borderId="25" xfId="0" applyBorder="1"/>
    <xf numFmtId="0" fontId="6" fillId="7" borderId="26" xfId="0" applyFont="1" applyFill="1" applyBorder="1" applyAlignment="1">
      <alignment horizontal="center" vertical="center"/>
    </xf>
    <xf numFmtId="0" fontId="7" fillId="7" borderId="27" xfId="0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left" vertical="center" wrapText="1"/>
    </xf>
    <xf numFmtId="0" fontId="4" fillId="5" borderId="30" xfId="0" applyFont="1" applyFill="1" applyBorder="1" applyAlignment="1">
      <alignment horizontal="left" vertical="center" wrapText="1"/>
    </xf>
    <xf numFmtId="0" fontId="4" fillId="5" borderId="3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vertical="center" wrapText="1"/>
    </xf>
    <xf numFmtId="164" fontId="9" fillId="8" borderId="4" xfId="0" applyNumberFormat="1" applyFont="1" applyFill="1" applyBorder="1" applyAlignment="1">
      <alignment vertical="center" wrapText="1"/>
    </xf>
    <xf numFmtId="9" fontId="9" fillId="8" borderId="4" xfId="0" applyNumberFormat="1" applyFont="1" applyFill="1" applyBorder="1" applyAlignment="1">
      <alignment vertical="center" wrapText="1"/>
    </xf>
    <xf numFmtId="0" fontId="9" fillId="8" borderId="2" xfId="0" applyFont="1" applyFill="1" applyBorder="1" applyAlignment="1">
      <alignment vertical="center" wrapText="1"/>
    </xf>
    <xf numFmtId="164" fontId="9" fillId="8" borderId="2" xfId="0" applyNumberFormat="1" applyFont="1" applyFill="1" applyBorder="1" applyAlignment="1">
      <alignment vertical="center" wrapText="1"/>
    </xf>
    <xf numFmtId="9" fontId="9" fillId="8" borderId="2" xfId="0" applyNumberFormat="1" applyFont="1" applyFill="1" applyBorder="1" applyAlignment="1">
      <alignment vertical="center" wrapText="1"/>
    </xf>
    <xf numFmtId="0" fontId="2" fillId="4" borderId="32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vertical="center" wrapText="1"/>
    </xf>
    <xf numFmtId="0" fontId="10" fillId="6" borderId="15" xfId="0" applyFont="1" applyFill="1" applyBorder="1" applyAlignment="1">
      <alignment vertical="center" wrapText="1"/>
    </xf>
    <xf numFmtId="164" fontId="10" fillId="6" borderId="15" xfId="0" applyNumberFormat="1" applyFont="1" applyFill="1" applyBorder="1" applyAlignment="1">
      <alignment vertical="center" wrapText="1"/>
    </xf>
    <xf numFmtId="9" fontId="10" fillId="6" borderId="15" xfId="0" applyNumberFormat="1" applyFont="1" applyFill="1" applyBorder="1" applyAlignment="1">
      <alignment vertical="center" wrapText="1"/>
    </xf>
    <xf numFmtId="0" fontId="5" fillId="6" borderId="17" xfId="0" applyFont="1" applyFill="1" applyBorder="1" applyAlignment="1">
      <alignment vertical="center" wrapText="1"/>
    </xf>
    <xf numFmtId="0" fontId="5" fillId="6" borderId="34" xfId="0" applyFont="1" applyFill="1" applyBorder="1" applyAlignment="1">
      <alignment vertical="center" wrapText="1"/>
    </xf>
    <xf numFmtId="0" fontId="4" fillId="5" borderId="29" xfId="0" applyFont="1" applyFill="1" applyBorder="1" applyAlignment="1">
      <alignment vertical="center" wrapText="1"/>
    </xf>
    <xf numFmtId="0" fontId="4" fillId="5" borderId="30" xfId="0" applyFont="1" applyFill="1" applyBorder="1" applyAlignment="1">
      <alignment vertical="center" wrapText="1"/>
    </xf>
    <xf numFmtId="0" fontId="4" fillId="5" borderId="31" xfId="0" applyFont="1" applyFill="1" applyBorder="1" applyAlignment="1">
      <alignment vertical="center" wrapText="1"/>
    </xf>
    <xf numFmtId="0" fontId="8" fillId="8" borderId="24" xfId="0" applyFont="1" applyFill="1" applyBorder="1" applyAlignment="1">
      <alignment vertical="center" wrapText="1"/>
    </xf>
    <xf numFmtId="164" fontId="8" fillId="8" borderId="24" xfId="0" applyNumberFormat="1" applyFont="1" applyFill="1" applyBorder="1" applyAlignment="1">
      <alignment vertical="center" wrapText="1"/>
    </xf>
    <xf numFmtId="164" fontId="5" fillId="6" borderId="14" xfId="0" applyNumberFormat="1" applyFont="1" applyFill="1" applyBorder="1" applyAlignment="1">
      <alignment vertical="center" wrapText="1"/>
    </xf>
    <xf numFmtId="164" fontId="5" fillId="6" borderId="16" xfId="0" applyNumberFormat="1" applyFont="1" applyFill="1" applyBorder="1" applyAlignment="1">
      <alignment vertical="center" wrapText="1"/>
    </xf>
    <xf numFmtId="164" fontId="5" fillId="6" borderId="15" xfId="0" applyNumberFormat="1" applyFont="1" applyFill="1" applyBorder="1" applyAlignment="1">
      <alignment vertical="center" wrapText="1"/>
    </xf>
    <xf numFmtId="0" fontId="8" fillId="8" borderId="25" xfId="0" applyFont="1" applyFill="1" applyBorder="1" applyAlignment="1">
      <alignment vertical="center" wrapText="1"/>
    </xf>
    <xf numFmtId="164" fontId="8" fillId="8" borderId="25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"/>
  <sheetViews>
    <sheetView showGridLines="0" tabSelected="1" workbookViewId="0">
      <pane ySplit="2" topLeftCell="A3" activePane="bottomLeft" state="frozen"/>
      <selection pane="bottomLeft" activeCell="D11" sqref="D11"/>
    </sheetView>
  </sheetViews>
  <sheetFormatPr defaultRowHeight="14.5" x14ac:dyDescent="0.35"/>
  <cols>
    <col min="1" max="1" width="27.26953125" customWidth="1"/>
    <col min="2" max="2" width="15.453125" customWidth="1"/>
    <col min="3" max="3" width="26.36328125" customWidth="1"/>
    <col min="4" max="4" width="24.54296875" customWidth="1"/>
    <col min="5" max="5" width="26.36328125" customWidth="1"/>
    <col min="6" max="6" width="24.54296875" customWidth="1"/>
  </cols>
  <sheetData>
    <row r="1" spans="1:6" ht="30" customHeight="1" thickBot="1" x14ac:dyDescent="0.4">
      <c r="A1" s="2" t="s">
        <v>0</v>
      </c>
      <c r="B1" s="3"/>
      <c r="C1" s="3"/>
      <c r="D1" s="3"/>
      <c r="E1" s="3"/>
      <c r="F1" s="4"/>
    </row>
    <row r="2" spans="1:6" ht="34" customHeight="1" thickBot="1" x14ac:dyDescent="0.4">
      <c r="A2" s="6" t="s">
        <v>1</v>
      </c>
      <c r="B2" s="5" t="s">
        <v>2</v>
      </c>
      <c r="C2" s="17" t="s">
        <v>3</v>
      </c>
      <c r="D2" s="17" t="s">
        <v>4</v>
      </c>
      <c r="E2" s="5" t="s">
        <v>5</v>
      </c>
      <c r="F2" s="7" t="s">
        <v>6</v>
      </c>
    </row>
    <row r="3" spans="1:6" x14ac:dyDescent="0.35">
      <c r="A3" s="11" t="s">
        <v>7</v>
      </c>
      <c r="B3" s="13">
        <v>4</v>
      </c>
      <c r="C3" s="20" t="s">
        <v>8</v>
      </c>
      <c r="D3" s="23">
        <v>1295640</v>
      </c>
      <c r="E3" s="15" t="s">
        <v>9</v>
      </c>
      <c r="F3" s="9">
        <v>14396</v>
      </c>
    </row>
    <row r="4" spans="1:6" x14ac:dyDescent="0.35">
      <c r="A4" s="12" t="s">
        <v>10</v>
      </c>
      <c r="B4" s="14">
        <v>2</v>
      </c>
      <c r="C4" s="21" t="s">
        <v>8</v>
      </c>
      <c r="D4" s="24">
        <v>777419.99</v>
      </c>
      <c r="E4" s="16" t="s">
        <v>11</v>
      </c>
      <c r="F4" s="10">
        <v>8179.1700000000401</v>
      </c>
    </row>
    <row r="5" spans="1:6" ht="15" thickBot="1" x14ac:dyDescent="0.4">
      <c r="A5" s="12" t="s">
        <v>12</v>
      </c>
      <c r="B5" s="14">
        <v>1</v>
      </c>
      <c r="C5" s="22" t="s">
        <v>8</v>
      </c>
      <c r="D5" s="25">
        <v>70561.002800000002</v>
      </c>
      <c r="E5" s="16" t="s">
        <v>9</v>
      </c>
      <c r="F5" s="10">
        <v>998.917199999996</v>
      </c>
    </row>
    <row r="6" spans="1:6" ht="15" thickBot="1" x14ac:dyDescent="0.4">
      <c r="A6" s="26"/>
      <c r="B6" s="26"/>
      <c r="C6" s="27"/>
      <c r="D6" s="27"/>
      <c r="E6" s="26"/>
      <c r="F6" s="26"/>
    </row>
    <row r="7" spans="1:6" ht="24" customHeight="1" thickBot="1" x14ac:dyDescent="0.4">
      <c r="A7" s="28" t="s">
        <v>13</v>
      </c>
      <c r="B7" s="29"/>
      <c r="C7" s="29"/>
      <c r="D7" s="29"/>
      <c r="E7" s="29"/>
      <c r="F7" s="30"/>
    </row>
    <row r="8" spans="1:6" ht="38" customHeight="1" thickBot="1" x14ac:dyDescent="0.4">
      <c r="A8" s="32" t="s">
        <v>14</v>
      </c>
      <c r="B8" s="31"/>
      <c r="C8" s="31"/>
      <c r="D8" s="31"/>
      <c r="E8" s="31"/>
      <c r="F8" s="33"/>
    </row>
  </sheetData>
  <mergeCells count="3">
    <mergeCell ref="A1:F1"/>
    <mergeCell ref="A7:F7"/>
    <mergeCell ref="A8:F8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8"/>
  <sheetViews>
    <sheetView showGridLines="0" workbookViewId="0">
      <pane ySplit="2" topLeftCell="A3" activePane="bottomLeft" state="frozen"/>
      <selection pane="bottomLeft" activeCell="B13" sqref="B13"/>
    </sheetView>
  </sheetViews>
  <sheetFormatPr defaultRowHeight="14.5" x14ac:dyDescent="0.35"/>
  <cols>
    <col min="1" max="1" width="24" customWidth="1"/>
    <col min="2" max="2" width="18" customWidth="1"/>
    <col min="3" max="3" width="48" customWidth="1"/>
    <col min="4" max="4" width="8" customWidth="1"/>
    <col min="5" max="5" width="16" customWidth="1"/>
    <col min="6" max="6" width="10" customWidth="1"/>
    <col min="7" max="7" width="17" customWidth="1"/>
    <col min="8" max="8" width="13" customWidth="1"/>
    <col min="9" max="9" width="18" customWidth="1"/>
    <col min="10" max="11" width="20" customWidth="1"/>
    <col min="12" max="12" width="17.1796875" bestFit="1" customWidth="1"/>
    <col min="13" max="13" width="12.26953125" bestFit="1" customWidth="1"/>
  </cols>
  <sheetData>
    <row r="1" spans="1:13" ht="21.5" thickBot="1" x14ac:dyDescent="0.4">
      <c r="A1" s="2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spans="1:13" ht="34" customHeight="1" thickBot="1" x14ac:dyDescent="0.4">
      <c r="A2" s="41" t="s">
        <v>16</v>
      </c>
      <c r="B2" s="17" t="s">
        <v>17</v>
      </c>
      <c r="C2" s="17" t="s">
        <v>18</v>
      </c>
      <c r="D2" s="17" t="s">
        <v>2</v>
      </c>
      <c r="E2" s="17" t="s">
        <v>19</v>
      </c>
      <c r="F2" s="17" t="s">
        <v>20</v>
      </c>
      <c r="G2" s="17" t="s">
        <v>21</v>
      </c>
      <c r="H2" s="17" t="s">
        <v>22</v>
      </c>
      <c r="I2" s="17" t="s">
        <v>23</v>
      </c>
      <c r="J2" s="17" t="s">
        <v>24</v>
      </c>
      <c r="K2" s="17" t="s">
        <v>25</v>
      </c>
      <c r="L2" s="17" t="s">
        <v>26</v>
      </c>
      <c r="M2" s="42" t="s">
        <v>27</v>
      </c>
    </row>
    <row r="3" spans="1:13" ht="29.5" thickBot="1" x14ac:dyDescent="0.4">
      <c r="A3" s="47" t="s">
        <v>8</v>
      </c>
      <c r="B3" s="43" t="s">
        <v>28</v>
      </c>
      <c r="C3" s="43" t="s">
        <v>29</v>
      </c>
      <c r="D3" s="44">
        <v>4</v>
      </c>
      <c r="E3" s="45">
        <v>274500</v>
      </c>
      <c r="F3" s="46">
        <v>0.18</v>
      </c>
      <c r="G3" s="45">
        <f>D3*E3</f>
        <v>1098000</v>
      </c>
      <c r="H3" s="45">
        <f>G3*F3</f>
        <v>197640</v>
      </c>
      <c r="I3" s="45">
        <f>G3+H3</f>
        <v>1295640</v>
      </c>
      <c r="J3" s="43" t="s">
        <v>30</v>
      </c>
      <c r="K3" s="43" t="s">
        <v>31</v>
      </c>
      <c r="L3" s="43" t="s">
        <v>32</v>
      </c>
      <c r="M3" s="48" t="s">
        <v>33</v>
      </c>
    </row>
    <row r="4" spans="1:13" ht="29" x14ac:dyDescent="0.35">
      <c r="A4" s="11" t="s">
        <v>9</v>
      </c>
      <c r="B4" s="11" t="s">
        <v>34</v>
      </c>
      <c r="C4" s="11" t="s">
        <v>35</v>
      </c>
      <c r="D4" s="35">
        <v>4</v>
      </c>
      <c r="E4" s="36">
        <v>277550</v>
      </c>
      <c r="F4" s="37">
        <v>0.18</v>
      </c>
      <c r="G4" s="36">
        <f>D4*E4</f>
        <v>1110200</v>
      </c>
      <c r="H4" s="36">
        <f>G4*F4</f>
        <v>199836</v>
      </c>
      <c r="I4" s="36">
        <f>G4+H4</f>
        <v>1310036</v>
      </c>
      <c r="J4" s="11" t="s">
        <v>36</v>
      </c>
      <c r="K4" s="11" t="s">
        <v>37</v>
      </c>
      <c r="L4" s="11" t="s">
        <v>38</v>
      </c>
      <c r="M4" s="11" t="s">
        <v>39</v>
      </c>
    </row>
    <row r="5" spans="1:13" ht="29" x14ac:dyDescent="0.35">
      <c r="A5" s="12" t="s">
        <v>11</v>
      </c>
      <c r="B5" s="12" t="s">
        <v>39</v>
      </c>
      <c r="C5" s="12" t="s">
        <v>40</v>
      </c>
      <c r="D5" s="38">
        <v>4</v>
      </c>
      <c r="E5" s="39">
        <v>296460</v>
      </c>
      <c r="F5" s="40">
        <v>0.18</v>
      </c>
      <c r="G5" s="39">
        <f>D5*E5</f>
        <v>1185840</v>
      </c>
      <c r="H5" s="39">
        <f>G5*F5</f>
        <v>213451.19999999998</v>
      </c>
      <c r="I5" s="39">
        <f>G5+H5</f>
        <v>1399291.2</v>
      </c>
      <c r="J5" s="12" t="s">
        <v>41</v>
      </c>
      <c r="K5" s="12" t="s">
        <v>42</v>
      </c>
      <c r="L5" s="11" t="s">
        <v>43</v>
      </c>
      <c r="M5" s="12" t="s">
        <v>33</v>
      </c>
    </row>
    <row r="6" spans="1:13" ht="15" thickBot="1" x14ac:dyDescent="0.4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</row>
    <row r="7" spans="1:13" ht="16" thickBot="1" x14ac:dyDescent="0.4">
      <c r="A7" s="28" t="s">
        <v>44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30"/>
    </row>
    <row r="8" spans="1:13" ht="15" thickBot="1" x14ac:dyDescent="0.4">
      <c r="A8" s="50" t="s">
        <v>45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51"/>
    </row>
  </sheetData>
  <autoFilter ref="A2:M5" xr:uid="{00000000-0009-0000-0000-000001000000}"/>
  <mergeCells count="3">
    <mergeCell ref="A8:M8"/>
    <mergeCell ref="A1:M1"/>
    <mergeCell ref="A7:M7"/>
  </mergeCells>
  <conditionalFormatting sqref="I3:I5">
    <cfRule type="cellIs" dxfId="2" priority="1" operator="equal">
      <formula>MIN($I$3:$I$5)</formula>
    </cfRule>
  </conditionalFormatting>
  <pageMargins left="0.75" right="0.75" top="1" bottom="1" header="0.5" footer="0.5"/>
  <pageSetup fitToHeight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8"/>
  <sheetViews>
    <sheetView showGridLines="0" workbookViewId="0">
      <pane ySplit="2" topLeftCell="A3" activePane="bottomLeft" state="frozen"/>
      <selection pane="bottomLeft" activeCell="N5" sqref="N5"/>
    </sheetView>
  </sheetViews>
  <sheetFormatPr defaultRowHeight="14.5" x14ac:dyDescent="0.35"/>
  <cols>
    <col min="1" max="1" width="24" customWidth="1"/>
    <col min="2" max="2" width="18" customWidth="1"/>
    <col min="3" max="3" width="48" customWidth="1"/>
    <col min="4" max="4" width="8" customWidth="1"/>
    <col min="5" max="5" width="16" customWidth="1"/>
    <col min="6" max="6" width="10" customWidth="1"/>
    <col min="7" max="7" width="17" customWidth="1"/>
    <col min="8" max="8" width="13" customWidth="1"/>
    <col min="9" max="9" width="18" customWidth="1"/>
    <col min="10" max="11" width="20" customWidth="1"/>
    <col min="12" max="12" width="16" customWidth="1"/>
    <col min="13" max="13" width="12.26953125" bestFit="1" customWidth="1"/>
  </cols>
  <sheetData>
    <row r="1" spans="1:13" ht="21.5" thickBot="1" x14ac:dyDescent="0.4">
      <c r="A1" s="2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spans="1:13" ht="34" customHeight="1" thickBot="1" x14ac:dyDescent="0.4">
      <c r="A2" s="41" t="s">
        <v>16</v>
      </c>
      <c r="B2" s="17" t="s">
        <v>17</v>
      </c>
      <c r="C2" s="17" t="s">
        <v>18</v>
      </c>
      <c r="D2" s="17" t="s">
        <v>2</v>
      </c>
      <c r="E2" s="17" t="s">
        <v>19</v>
      </c>
      <c r="F2" s="17" t="s">
        <v>20</v>
      </c>
      <c r="G2" s="17" t="s">
        <v>21</v>
      </c>
      <c r="H2" s="17" t="s">
        <v>22</v>
      </c>
      <c r="I2" s="17" t="s">
        <v>23</v>
      </c>
      <c r="J2" s="17" t="s">
        <v>24</v>
      </c>
      <c r="K2" s="17" t="s">
        <v>25</v>
      </c>
      <c r="L2" s="17" t="s">
        <v>26</v>
      </c>
      <c r="M2" s="42" t="s">
        <v>27</v>
      </c>
    </row>
    <row r="3" spans="1:13" ht="29.5" thickBot="1" x14ac:dyDescent="0.4">
      <c r="A3" s="47" t="s">
        <v>8</v>
      </c>
      <c r="B3" s="43" t="s">
        <v>47</v>
      </c>
      <c r="C3" s="43" t="s">
        <v>48</v>
      </c>
      <c r="D3" s="44">
        <v>2</v>
      </c>
      <c r="E3" s="45">
        <v>329415.25</v>
      </c>
      <c r="F3" s="46">
        <v>0.18</v>
      </c>
      <c r="G3" s="45">
        <f>D3*E3</f>
        <v>658830.5</v>
      </c>
      <c r="H3" s="45">
        <f>G3*F3</f>
        <v>118589.48999999999</v>
      </c>
      <c r="I3" s="45">
        <f>G3+H3</f>
        <v>777419.99</v>
      </c>
      <c r="J3" s="43" t="s">
        <v>30</v>
      </c>
      <c r="K3" s="43" t="s">
        <v>31</v>
      </c>
      <c r="L3" s="43" t="s">
        <v>32</v>
      </c>
      <c r="M3" s="48" t="s">
        <v>33</v>
      </c>
    </row>
    <row r="4" spans="1:13" ht="29" x14ac:dyDescent="0.35">
      <c r="A4" s="11" t="s">
        <v>9</v>
      </c>
      <c r="B4" s="11" t="s">
        <v>49</v>
      </c>
      <c r="C4" s="11" t="s">
        <v>50</v>
      </c>
      <c r="D4" s="35">
        <v>2</v>
      </c>
      <c r="E4" s="36">
        <v>333076</v>
      </c>
      <c r="F4" s="37">
        <v>0.18</v>
      </c>
      <c r="G4" s="36">
        <f>D4*E4</f>
        <v>666152</v>
      </c>
      <c r="H4" s="36">
        <f>G4*F4</f>
        <v>119907.36</v>
      </c>
      <c r="I4" s="36">
        <f>G4+H4</f>
        <v>786059.36</v>
      </c>
      <c r="J4" s="11" t="s">
        <v>36</v>
      </c>
      <c r="K4" s="11" t="s">
        <v>37</v>
      </c>
      <c r="L4" s="11" t="s">
        <v>38</v>
      </c>
      <c r="M4" s="11" t="s">
        <v>39</v>
      </c>
    </row>
    <row r="5" spans="1:13" ht="29" x14ac:dyDescent="0.35">
      <c r="A5" s="12" t="s">
        <v>11</v>
      </c>
      <c r="B5" s="12" t="s">
        <v>49</v>
      </c>
      <c r="C5" s="12" t="s">
        <v>48</v>
      </c>
      <c r="D5" s="38">
        <v>2</v>
      </c>
      <c r="E5" s="39">
        <v>332881</v>
      </c>
      <c r="F5" s="40">
        <v>0.18</v>
      </c>
      <c r="G5" s="39">
        <f>D5*E5</f>
        <v>665762</v>
      </c>
      <c r="H5" s="39">
        <f>G5*F5</f>
        <v>119837.15999999999</v>
      </c>
      <c r="I5" s="39">
        <f>G5+H5</f>
        <v>785599.16</v>
      </c>
      <c r="J5" s="12" t="s">
        <v>51</v>
      </c>
      <c r="K5" s="12" t="s">
        <v>42</v>
      </c>
      <c r="L5" s="11" t="s">
        <v>52</v>
      </c>
      <c r="M5" s="12" t="s">
        <v>39</v>
      </c>
    </row>
    <row r="6" spans="1:13" ht="15" thickBot="1" x14ac:dyDescent="0.4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</row>
    <row r="7" spans="1:13" ht="16" thickBot="1" x14ac:dyDescent="0.4">
      <c r="A7" s="28" t="s">
        <v>44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30"/>
    </row>
    <row r="8" spans="1:13" ht="15" thickBot="1" x14ac:dyDescent="0.4">
      <c r="A8" s="50" t="s">
        <v>45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51"/>
    </row>
  </sheetData>
  <autoFilter ref="A2:M5" xr:uid="{00000000-0009-0000-0000-000002000000}"/>
  <mergeCells count="3">
    <mergeCell ref="A8:M8"/>
    <mergeCell ref="A1:M1"/>
    <mergeCell ref="A7:M7"/>
  </mergeCells>
  <conditionalFormatting sqref="I3:I5">
    <cfRule type="cellIs" dxfId="1" priority="1" operator="equal">
      <formula>MIN($I$3:$I$5)</formula>
    </cfRule>
  </conditionalFormatting>
  <pageMargins left="0.75" right="0.75" top="1" bottom="1" header="0.5" footer="0.5"/>
  <pageSetup fitToHeight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0"/>
  <sheetViews>
    <sheetView showGridLines="0" workbookViewId="0">
      <pane ySplit="2" topLeftCell="A3" activePane="bottomLeft" state="frozen"/>
      <selection pane="bottomLeft" activeCell="C12" sqref="C12"/>
    </sheetView>
  </sheetViews>
  <sheetFormatPr defaultRowHeight="14.5" x14ac:dyDescent="0.35"/>
  <cols>
    <col min="1" max="1" width="22" customWidth="1"/>
    <col min="2" max="2" width="19" customWidth="1"/>
    <col min="3" max="3" width="34" customWidth="1"/>
    <col min="4" max="4" width="10.453125" bestFit="1" customWidth="1"/>
    <col min="5" max="8" width="15" customWidth="1"/>
    <col min="9" max="11" width="18" customWidth="1"/>
  </cols>
  <sheetData>
    <row r="1" spans="1:11" ht="21.5" thickBot="1" x14ac:dyDescent="0.4">
      <c r="A1" s="2" t="s">
        <v>53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 thickBot="1" x14ac:dyDescent="0.4">
      <c r="A2" s="41" t="s">
        <v>16</v>
      </c>
      <c r="B2" s="17" t="s">
        <v>54</v>
      </c>
      <c r="C2" s="17" t="s">
        <v>17</v>
      </c>
      <c r="D2" s="17" t="s">
        <v>55</v>
      </c>
      <c r="E2" s="17" t="s">
        <v>19</v>
      </c>
      <c r="F2" s="17" t="s">
        <v>21</v>
      </c>
      <c r="G2" s="17" t="s">
        <v>22</v>
      </c>
      <c r="H2" s="17" t="s">
        <v>23</v>
      </c>
      <c r="I2" s="17" t="s">
        <v>24</v>
      </c>
      <c r="J2" s="17" t="s">
        <v>25</v>
      </c>
      <c r="K2" s="17" t="s">
        <v>56</v>
      </c>
    </row>
    <row r="3" spans="1:11" ht="29" x14ac:dyDescent="0.35">
      <c r="A3" s="20" t="s">
        <v>8</v>
      </c>
      <c r="B3" s="18" t="s">
        <v>57</v>
      </c>
      <c r="C3" s="18" t="s">
        <v>58</v>
      </c>
      <c r="D3" s="18">
        <v>1</v>
      </c>
      <c r="E3" s="54">
        <v>39750.85</v>
      </c>
      <c r="F3" s="54">
        <f>D3*E3</f>
        <v>39750.85</v>
      </c>
      <c r="G3" s="54">
        <f>F3*18%</f>
        <v>7155.1529999999993</v>
      </c>
      <c r="H3" s="54">
        <f>F3+G3</f>
        <v>46906.002999999997</v>
      </c>
      <c r="I3" s="18" t="s">
        <v>30</v>
      </c>
      <c r="J3" s="18" t="s">
        <v>31</v>
      </c>
      <c r="K3" s="18" t="s">
        <v>32</v>
      </c>
    </row>
    <row r="4" spans="1:11" ht="34.5" customHeight="1" thickBot="1" x14ac:dyDescent="0.4">
      <c r="A4" s="22" t="s">
        <v>8</v>
      </c>
      <c r="B4" s="19" t="s">
        <v>59</v>
      </c>
      <c r="C4" s="19" t="s">
        <v>60</v>
      </c>
      <c r="D4" s="19">
        <v>1</v>
      </c>
      <c r="E4" s="55">
        <v>20046.61</v>
      </c>
      <c r="F4" s="55">
        <f>D4*E4</f>
        <v>20046.61</v>
      </c>
      <c r="G4" s="55">
        <f>F4*18%</f>
        <v>3608.3897999999999</v>
      </c>
      <c r="H4" s="55">
        <f>F4+G4</f>
        <v>23654.999800000001</v>
      </c>
      <c r="I4" s="19" t="s">
        <v>30</v>
      </c>
      <c r="J4" s="19" t="s">
        <v>31</v>
      </c>
      <c r="K4" s="19" t="s">
        <v>32</v>
      </c>
    </row>
    <row r="5" spans="1:11" ht="29" x14ac:dyDescent="0.35">
      <c r="A5" s="11" t="s">
        <v>9</v>
      </c>
      <c r="B5" s="11" t="s">
        <v>61</v>
      </c>
      <c r="C5" s="11" t="s">
        <v>62</v>
      </c>
      <c r="D5" s="11">
        <v>1</v>
      </c>
      <c r="E5" s="8">
        <v>40597</v>
      </c>
      <c r="F5" s="8">
        <f>D5*E5</f>
        <v>40597</v>
      </c>
      <c r="G5" s="8">
        <f>F5*18%</f>
        <v>7307.46</v>
      </c>
      <c r="H5" s="8">
        <f>F5+G5</f>
        <v>47904.46</v>
      </c>
      <c r="I5" s="11" t="s">
        <v>36</v>
      </c>
      <c r="J5" s="11" t="s">
        <v>37</v>
      </c>
      <c r="K5" s="11" t="s">
        <v>38</v>
      </c>
    </row>
    <row r="6" spans="1:11" ht="31" customHeight="1" thickBot="1" x14ac:dyDescent="0.4">
      <c r="A6" s="52" t="s">
        <v>9</v>
      </c>
      <c r="B6" s="52" t="s">
        <v>63</v>
      </c>
      <c r="C6" s="52" t="s">
        <v>64</v>
      </c>
      <c r="D6" s="52">
        <v>1</v>
      </c>
      <c r="E6" s="53">
        <v>20047</v>
      </c>
      <c r="F6" s="53">
        <f>D6*E6</f>
        <v>20047</v>
      </c>
      <c r="G6" s="53">
        <f>F6*18%</f>
        <v>3608.46</v>
      </c>
      <c r="H6" s="53">
        <f>F6+G6</f>
        <v>23655.46</v>
      </c>
      <c r="I6" s="52" t="s">
        <v>36</v>
      </c>
      <c r="J6" s="52" t="s">
        <v>37</v>
      </c>
      <c r="K6" s="12" t="s">
        <v>38</v>
      </c>
    </row>
    <row r="7" spans="1:11" ht="34" customHeight="1" thickBot="1" x14ac:dyDescent="0.4">
      <c r="A7" s="41" t="s">
        <v>16</v>
      </c>
      <c r="B7" s="17" t="s">
        <v>65</v>
      </c>
      <c r="C7" s="17" t="s">
        <v>66</v>
      </c>
      <c r="D7" s="17" t="s">
        <v>22</v>
      </c>
      <c r="E7" s="17" t="s">
        <v>67</v>
      </c>
      <c r="F7" s="17" t="s">
        <v>68</v>
      </c>
      <c r="G7" s="17" t="s">
        <v>24</v>
      </c>
      <c r="H7" s="17" t="s">
        <v>25</v>
      </c>
      <c r="I7" s="17" t="s">
        <v>56</v>
      </c>
      <c r="J7" s="42" t="s">
        <v>69</v>
      </c>
      <c r="K7" s="34"/>
    </row>
    <row r="8" spans="1:11" ht="31" customHeight="1" thickBot="1" x14ac:dyDescent="0.4">
      <c r="A8" s="47" t="s">
        <v>8</v>
      </c>
      <c r="B8" s="43">
        <f>SUM(D3:D4)</f>
        <v>2</v>
      </c>
      <c r="C8" s="56">
        <f>SUM(F3:F4)</f>
        <v>59797.46</v>
      </c>
      <c r="D8" s="56">
        <f>SUM(G3:G4)</f>
        <v>10763.542799999999</v>
      </c>
      <c r="E8" s="56">
        <f>SUM(H3:H4)</f>
        <v>70561.002800000002</v>
      </c>
      <c r="F8" s="43">
        <f>RANK(E8,$E$8:$E$9,1)</f>
        <v>1</v>
      </c>
      <c r="G8" s="43" t="s">
        <v>30</v>
      </c>
      <c r="H8" s="43" t="s">
        <v>31</v>
      </c>
      <c r="I8" s="43" t="s">
        <v>70</v>
      </c>
      <c r="J8" s="48" t="s">
        <v>71</v>
      </c>
      <c r="K8" s="1"/>
    </row>
    <row r="9" spans="1:11" ht="26.5" customHeight="1" thickBot="1" x14ac:dyDescent="0.4">
      <c r="A9" s="57" t="s">
        <v>9</v>
      </c>
      <c r="B9" s="57">
        <f>SUM(D5:D6)</f>
        <v>2</v>
      </c>
      <c r="C9" s="58">
        <f>SUM(F5:F6)</f>
        <v>60644</v>
      </c>
      <c r="D9" s="58">
        <f>SUM(G5:G6)</f>
        <v>10915.92</v>
      </c>
      <c r="E9" s="58">
        <f>SUM(H5:H6)</f>
        <v>71559.92</v>
      </c>
      <c r="F9" s="57">
        <f>RANK(E9,$E$8:$E$9,1)</f>
        <v>2</v>
      </c>
      <c r="G9" s="57" t="s">
        <v>36</v>
      </c>
      <c r="H9" s="57" t="s">
        <v>37</v>
      </c>
      <c r="I9" s="57" t="s">
        <v>70</v>
      </c>
      <c r="J9" s="57" t="s">
        <v>72</v>
      </c>
      <c r="K9" s="26"/>
    </row>
    <row r="10" spans="1:11" ht="15" thickBot="1" x14ac:dyDescent="0.4">
      <c r="A10" s="50" t="s">
        <v>73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</row>
  </sheetData>
  <mergeCells count="2">
    <mergeCell ref="A10:K10"/>
    <mergeCell ref="A1:K1"/>
  </mergeCells>
  <conditionalFormatting sqref="E8:E9">
    <cfRule type="cellIs" dxfId="0" priority="1" operator="equal">
      <formula>MIN($E$8:$E$9)</formula>
    </cfRule>
  </conditionalFormatting>
  <pageMargins left="0.75" right="0.75" top="1" bottom="1" header="0.5" footer="0.5"/>
  <pageSetup fitToHeight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MacBook 24GB Comparison</vt:lpstr>
      <vt:lpstr>MacBook 48GB Comparison</vt:lpstr>
      <vt:lpstr>iPad Bundle Comparison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Dnyaneshwar Karande</dc:creator>
  <cp:keywords/>
  <dc:description/>
  <cp:lastModifiedBy>Dnyaneshwar Karande</cp:lastModifiedBy>
  <cp:revision/>
  <dcterms:created xsi:type="dcterms:W3CDTF">2026-09-17T16:51:01Z</dcterms:created>
  <dcterms:modified xsi:type="dcterms:W3CDTF">2026-09-17T17:20:00Z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2026-09-17T16:51:01Z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dd72a2d2-8ec1-4f74-9b3a-e66f079e7fd4</vt:lpwstr>
  </property>
  <property fmtid="{D5CDD505-2E9C-101B-9397-08002B2CF9AE}" pid="7" name="MSIP_Label_defa4170-0d19-0005-0004-bc88714345d2_ActionId">
    <vt:lpwstr>f50edfd9-9c18-4c03-b05f-b107db72a674</vt:lpwstr>
  </property>
  <property fmtid="{D5CDD505-2E9C-101B-9397-08002B2CF9AE}" pid="8" name="MSIP_Label_defa4170-0d19-0005-0004-bc88714345d2_ContentBits">
    <vt:lpwstr>0</vt:lpwstr>
  </property>
</Properties>
</file>