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forceinternational-my.sharepoint.com/personal/dnyaneshwar_karande_kforce_co_in/Documents/Documents/All Quotations/HP ZBook 8 G1i_32GB/"/>
    </mc:Choice>
  </mc:AlternateContent>
  <xr:revisionPtr revIDLastSave="0" documentId="8_{E387AE74-DEA8-44A3-926F-47A35731B4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 Comparison" sheetId="1" r:id="rId1"/>
    <sheet name="Quote Details" sheetId="2" r:id="rId2"/>
  </sheets>
  <definedNames>
    <definedName name="_xlnm._FilterDatabase" localSheetId="0" hidden="1">'Final Comparison'!$A$3:$H$3</definedName>
    <definedName name="_xlnm._FilterDatabase" localSheetId="1" hidden="1">'Quote Details'!$A$5:$P$9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" l="1"/>
  <c r="C8" i="1"/>
  <c r="B8" i="1"/>
  <c r="E7" i="1"/>
  <c r="C7" i="1"/>
  <c r="B7" i="1"/>
  <c r="E6" i="1"/>
  <c r="C6" i="1"/>
  <c r="B6" i="1"/>
  <c r="E5" i="1"/>
  <c r="C5" i="1"/>
  <c r="B5" i="1"/>
  <c r="A5" i="1"/>
  <c r="I9" i="2"/>
  <c r="I8" i="2"/>
  <c r="I7" i="2"/>
  <c r="I6" i="2"/>
  <c r="A8" i="1" l="1"/>
  <c r="A7" i="1"/>
  <c r="A6" i="1"/>
  <c r="D5" i="1"/>
  <c r="D6" i="1"/>
  <c r="D7" i="1"/>
  <c r="D8" i="1"/>
  <c r="J6" i="2"/>
  <c r="K6" i="2" s="1"/>
  <c r="L6" i="2" s="1"/>
  <c r="J7" i="2"/>
  <c r="K7" i="2" s="1"/>
  <c r="L7" i="2" s="1"/>
  <c r="J8" i="2"/>
  <c r="K8" i="2" s="1"/>
  <c r="L8" i="2" s="1"/>
  <c r="J9" i="2"/>
  <c r="K9" i="2" s="1"/>
  <c r="L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6" authorId="0" shapeId="0" xr:uid="{00000000-0006-0000-0100-000001000000}">
      <text>
        <r>
          <rPr>
            <sz val="10"/>
            <rFont val="Arial"/>
            <family val="2"/>
          </rPr>
          <t>Source: Attached IT World quotation and related email</t>
        </r>
      </text>
    </comment>
    <comment ref="A7" authorId="0" shapeId="0" xr:uid="{00000000-0006-0000-0100-000002000000}">
      <text>
        <r>
          <rPr>
            <sz val="10"/>
            <rFont val="Arial"/>
            <family val="2"/>
          </rPr>
          <t>Source: Attached GNR quotation</t>
        </r>
      </text>
    </comment>
    <comment ref="A8" authorId="0" shapeId="0" xr:uid="{00000000-0006-0000-0100-000003000000}">
      <text>
        <r>
          <rPr>
            <sz val="10"/>
            <rFont val="Arial"/>
            <family val="2"/>
          </rPr>
          <t>Source: Attached Turbonet quotation</t>
        </r>
      </text>
    </comment>
    <comment ref="A9" authorId="0" shapeId="0" xr:uid="{00000000-0006-0000-0100-000004000000}">
      <text>
        <r>
          <rPr>
            <sz val="10"/>
            <rFont val="Arial"/>
            <family val="2"/>
          </rPr>
          <t>Source: Attached HP India quotation and email thread</t>
        </r>
      </text>
    </comment>
  </commentList>
</comments>
</file>

<file path=xl/sharedStrings.xml><?xml version="1.0" encoding="utf-8"?>
<sst xmlns="http://schemas.openxmlformats.org/spreadsheetml/2006/main" count="62" uniqueCount="59">
  <si>
    <t>HP ZBook 8 G1i 16-inch Mobile Workstation | Vendor Decision Dashboard</t>
  </si>
  <si>
    <t>10 units • Intel Core Ultra 7 255H • 32GB DDR5 • 1TB SSD • Windows 11 Pro • 3-year warranty + ADP • Final review: 24-Aug-2026</t>
  </si>
  <si>
    <t>VENDOR DECISION SUMMARY</t>
  </si>
  <si>
    <t>Rank</t>
  </si>
  <si>
    <t>Vendor</t>
  </si>
  <si>
    <t>Grand Total Incl. GST</t>
  </si>
  <si>
    <t>Premium vs Lowest</t>
  </si>
  <si>
    <t>Payment / Delivery</t>
  </si>
  <si>
    <t>Compliance / Action</t>
  </si>
  <si>
    <t>CONDITIONAL BEST VALUE
Confirm Hardware Hash CSV, exact OEM part number, stock, nil freight and refreshed validity.</t>
  </si>
  <si>
    <t>BEST CREDIT TERMS
30-day payment and fastest stated delivery; confirm hash and freight outside Pune.</t>
  </si>
  <si>
    <t>THIRD-LOWEST
Confirm mouse, Hardware Hash, exact part number, freight and refreshed validity.</t>
  </si>
  <si>
    <t>MOST COMPLETE / LOW RISK
Hash, wireless mouse and backpack explicitly included; resolve delivery wording and validity.</t>
  </si>
  <si>
    <t>DECISION GUIDANCE</t>
  </si>
  <si>
    <t>1. Select IT World for the lowest acquisition cost: ₹2,054,380 including GST.
2. Do not release the PO until Hardware Hash CSV, exact OEM part number/configuration, stock, nil freight and renewed validity are confirmed in writing.
3. Select HP India if scope certainty and OEM-direct accountability justify a ₹242,336.60 premium.
4. Consider GNR when 30-day credit is more important than the absolute lowest price.</t>
  </si>
  <si>
    <t>TOTAL COST COMPARISON</t>
  </si>
  <si>
    <t>HP ZBook 8 G1i | Quote Details</t>
  </si>
  <si>
    <t>All prices for 10 units; amounts in INR</t>
  </si>
  <si>
    <t>Quote Date</t>
  </si>
  <si>
    <t>Quote Ref / Source</t>
  </si>
  <si>
    <t>OEM Part No.</t>
  </si>
  <si>
    <t>Qty</t>
  </si>
  <si>
    <t>Base Laptop Total Excl. GST</t>
  </si>
  <si>
    <t>ADP Total Excl. GST</t>
  </si>
  <si>
    <t>Accessories / Hash Excl. GST</t>
  </si>
  <si>
    <t>Total Excl. GST</t>
  </si>
  <si>
    <t>GST @ 18%</t>
  </si>
  <si>
    <t>Unit Total Incl. GST</t>
  </si>
  <si>
    <t>Warranty</t>
  </si>
  <si>
    <t>Delivery</t>
  </si>
  <si>
    <t>Payment / Validity</t>
  </si>
  <si>
    <t>Notes</t>
  </si>
  <si>
    <t>IT World India Tech Pvt. Ltd.</t>
  </si>
  <si>
    <t>IT World_kforceHPZbookGli-21-08-2026.pdf</t>
  </si>
  <si>
    <t>Not stated</t>
  </si>
  <si>
    <t>3 years warranty with ADP</t>
  </si>
  <si>
    <t>1 week after PO</t>
  </si>
  <si>
    <t>100% advance with PO | Valid through 22-Aug-2026</t>
  </si>
  <si>
    <t>All-inclusive line item states bag and wireless mouse. Hardware Hash is not stated in PDF. Email says there is no additional cost beyond quote, but obtain explicit hash confirmation.</t>
  </si>
  <si>
    <t>GNR Solution Pvt. Ltd.</t>
  </si>
  <si>
    <t>GNR_Quote_KForce_Laptop.pdf</t>
  </si>
  <si>
    <t>C1JP4PT</t>
  </si>
  <si>
    <t>3 years standard + 3 years ADP</t>
  </si>
  <si>
    <t>4-5 days from PO</t>
  </si>
  <si>
    <t>30 days | Valid 3 days</t>
  </si>
  <si>
    <t>USB mouse included in laptop line; backpack separate. Freight nominal at actual outside Pune. Hardware Hash not stated.</t>
  </si>
  <si>
    <t>Turbonet Systems Pvt. Ltd.</t>
  </si>
  <si>
    <t>Turbonet_Commercial_KFORCE...TSPL-2108.pdf</t>
  </si>
  <si>
    <t>3 years standard + ADP support</t>
  </si>
  <si>
    <t>5-7 days after PO and payment</t>
  </si>
  <si>
    <t>100% advance | Valid 2 days</t>
  </si>
  <si>
    <t>Backpack stated. Mouse and Hardware Hash not stated. Freight at actual outside Mumbai.</t>
  </si>
  <si>
    <t>HP India Sales Pvt. Ltd.</t>
  </si>
  <si>
    <t>Quote 74585772479316</t>
  </si>
  <si>
    <t>DF3K6PA</t>
  </si>
  <si>
    <t>3 years onsite + 3 years ADP</t>
  </si>
  <si>
    <t>1-2 weeks after clean PO/payment; email says within 7 days</t>
  </si>
  <si>
    <t>100% advance | Expired 23-Aug-2026</t>
  </si>
  <si>
    <t>Accessories/hash: Hash ₹6,400 + mouse ₹6,630 + backpack ₹9,340. Door delivery. Stock available stated in email.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</si>
</sst>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;[Red]\(\₹#,##0.00\);\-"/>
  </numFmts>
  <fonts count="15" x14ac:knownFonts="1">
    <font>
      <sz val="11"/>
      <color theme="1"/>
      <name val="Calibri"/>
      <family val="2"/>
      <charset val="1"/>
    </font>
    <font>
      <b/>
      <sz val="10"/>
      <color rgb="FFFFFFFF"/>
      <name val="Aptos"/>
      <charset val="1"/>
    </font>
    <font>
      <sz val="10"/>
      <name val="Arial"/>
      <family val="2"/>
    </font>
    <font>
      <b/>
      <sz val="11"/>
      <color rgb="FFFFFFFF"/>
      <name val="Calibri"/>
      <family val="2"/>
      <charset val="1"/>
    </font>
    <font>
      <b/>
      <sz val="18"/>
      <color rgb="FFFFFFFF"/>
      <name val="Calibri"/>
      <family val="2"/>
      <charset val="1"/>
    </font>
    <font>
      <i/>
      <sz val="10"/>
      <color rgb="FF5B6573"/>
      <name val="Calibri"/>
      <family val="2"/>
      <charset val="1"/>
    </font>
    <font>
      <sz val="11"/>
      <color rgb="FF1F2937"/>
      <name val="Calibri"/>
      <family val="2"/>
      <charset val="1"/>
    </font>
    <font>
      <sz val="9"/>
      <color rgb="FF1F2937"/>
      <name val="Calibri"/>
      <family val="2"/>
      <charset val="1"/>
    </font>
    <font>
      <b/>
      <sz val="18"/>
      <color rgb="FFFFFFFF"/>
      <name val="Aptos"/>
      <charset val="1"/>
    </font>
    <font>
      <i/>
      <sz val="10"/>
      <color rgb="FF5B6573"/>
      <name val="Aptos"/>
      <charset val="1"/>
    </font>
    <font>
      <sz val="10"/>
      <color rgb="FF1F2937"/>
      <name val="Aptos"/>
      <charset val="1"/>
    </font>
    <font>
      <sz val="11"/>
      <color rgb="FF9C5700"/>
      <name val="Calibri"/>
      <family val="2"/>
      <charset val="1"/>
    </font>
    <font>
      <b/>
      <sz val="11"/>
      <color rgb="FF17365D"/>
      <name val="Calibri"/>
      <family val="2"/>
      <charset val="1"/>
    </font>
    <font>
      <b/>
      <sz val="11"/>
      <color rgb="FF385723"/>
      <name val="Calibri"/>
      <family val="2"/>
      <charset val="1"/>
    </font>
    <font>
      <b/>
      <sz val="9"/>
      <color rgb="FF385723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17324D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0B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8E0E8"/>
      </bottom>
      <diagonal/>
    </border>
    <border>
      <left/>
      <right/>
      <top style="medium">
        <color rgb="FF548235"/>
      </top>
      <bottom style="medium">
        <color rgb="FF54823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165" fontId="6" fillId="9" borderId="0" xfId="0" applyNumberFormat="1" applyFont="1" applyFill="1" applyAlignment="1">
      <alignment horizontal="right" vertical="top"/>
    </xf>
    <xf numFmtId="0" fontId="6" fillId="9" borderId="0" xfId="0" applyFont="1" applyFill="1" applyAlignment="1">
      <alignment vertical="top" wrapText="1"/>
    </xf>
    <xf numFmtId="0" fontId="7" fillId="9" borderId="0" xfId="0" applyFont="1" applyFill="1" applyAlignment="1">
      <alignment vertical="top" wrapText="1"/>
    </xf>
    <xf numFmtId="0" fontId="1" fillId="6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top" wrapText="1"/>
    </xf>
    <xf numFmtId="164" fontId="10" fillId="2" borderId="0" xfId="0" applyNumberFormat="1" applyFont="1" applyFill="1" applyAlignment="1">
      <alignment vertical="top" wrapText="1"/>
    </xf>
    <xf numFmtId="1" fontId="10" fillId="2" borderId="0" xfId="0" applyNumberFormat="1" applyFont="1" applyFill="1" applyAlignment="1">
      <alignment vertical="top" wrapText="1"/>
    </xf>
    <xf numFmtId="165" fontId="10" fillId="2" borderId="0" xfId="0" applyNumberFormat="1" applyFont="1" applyFill="1" applyAlignment="1">
      <alignment horizontal="right" vertical="top" wrapText="1"/>
    </xf>
    <xf numFmtId="0" fontId="3" fillId="8" borderId="0" xfId="0" applyFont="1" applyFill="1"/>
    <xf numFmtId="0" fontId="11" fillId="5" borderId="0" xfId="0" applyFont="1" applyFill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165" fontId="6" fillId="9" borderId="1" xfId="0" applyNumberFormat="1" applyFont="1" applyFill="1" applyBorder="1" applyAlignment="1">
      <alignment horizontal="right" vertical="top"/>
    </xf>
    <xf numFmtId="0" fontId="7" fillId="9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6" fillId="9" borderId="0" xfId="0" applyFont="1" applyFill="1" applyAlignment="1">
      <alignment horizontal="center" vertical="top"/>
    </xf>
    <xf numFmtId="0" fontId="6" fillId="9" borderId="1" xfId="0" applyFont="1" applyFill="1" applyBorder="1" applyAlignment="1">
      <alignment horizontal="center" vertical="top"/>
    </xf>
    <xf numFmtId="0" fontId="12" fillId="10" borderId="2" xfId="0" applyFont="1" applyFill="1" applyBorder="1" applyAlignment="1">
      <alignment vertical="top" wrapText="1"/>
    </xf>
    <xf numFmtId="0" fontId="3" fillId="11" borderId="2" xfId="0" applyFont="1" applyFill="1" applyBorder="1" applyAlignment="1">
      <alignment horizontal="center" vertical="top"/>
    </xf>
    <xf numFmtId="0" fontId="13" fillId="10" borderId="2" xfId="0" applyFont="1" applyFill="1" applyBorder="1" applyAlignment="1">
      <alignment vertical="top" wrapText="1"/>
    </xf>
    <xf numFmtId="165" fontId="13" fillId="12" borderId="2" xfId="0" applyNumberFormat="1" applyFont="1" applyFill="1" applyBorder="1" applyAlignment="1">
      <alignment horizontal="right" vertical="top"/>
    </xf>
    <xf numFmtId="0" fontId="14" fillId="10" borderId="2" xfId="0" applyFont="1" applyFill="1" applyBorder="1" applyAlignment="1">
      <alignment vertical="top" wrapText="1"/>
    </xf>
    <xf numFmtId="0" fontId="3" fillId="8" borderId="0" xfId="0" applyFont="1" applyFill="1"/>
    <xf numFmtId="0" fontId="6" fillId="7" borderId="0" xfId="0" applyFont="1" applyFill="1" applyAlignment="1">
      <alignment vertical="top" wrapText="1"/>
    </xf>
    <xf numFmtId="0" fontId="4" fillId="3" borderId="0" xfId="0" applyFont="1" applyFill="1"/>
    <xf numFmtId="0" fontId="5" fillId="4" borderId="0" xfId="0" applyFont="1" applyFill="1"/>
    <xf numFmtId="0" fontId="8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5" formatCode="\₹#,##0.00;[Red]\(\₹#,##0.00\);\-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5" formatCode="\₹#,##0.00;[Red]\(\₹#,##0.00\);\-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5" formatCode="\₹#,##0.00;[Red]\(\₹#,##0.00\);\-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5" formatCode="\₹#,##0.00;[Red]\(\₹#,##0.00\);\-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5" formatCode="\₹#,##0.00;[Red]\(\₹#,##0.00\);\-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5" formatCode="\₹#,##0.00;[Red]\(\₹#,##0.00\);\-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5" formatCode="\₹#,##0.00;[Red]\(\₹#,##0.00\);\-"/>
      <fill>
        <patternFill patternType="solid">
          <fgColor rgb="FFF9F9F9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" formatCode="0"/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numFmt numFmtId="164" formatCode="dd\-mmm\-yyyy"/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charset val="1"/>
        <scheme val="none"/>
      </font>
      <fill>
        <patternFill patternType="solid">
          <fgColor rgb="FFF9F9F9"/>
          <bgColor rgb="FFFFFFFF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charset val="1"/>
        <scheme val="none"/>
      </font>
      <fill>
        <patternFill patternType="solid">
          <fgColor indexed="64"/>
          <bgColor rgb="FF0F6B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F6B78"/>
      <rgbColor rgb="FFC0C0C0"/>
      <rgbColor rgb="FF878787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FFFF99"/>
      <rgbColor rgb="FF99CCFF"/>
      <rgbColor rgb="FFFF99CC"/>
      <rgbColor rgb="FFCC99FF"/>
      <rgbColor rgb="FFF4CCCC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Vendor Cost Comparison — Grand Total Incl. GST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'Final Comparison'!$C$4</c:f>
              <c:strCache>
                <c:ptCount val="1"/>
                <c:pt idx="0">
                  <c:v>Grand Total Incl. GST</c:v>
                </c:pt>
              </c:strCache>
            </c:strRef>
          </c:tx>
          <c:spPr>
            <a:solidFill>
              <a:srgbClr val="7A8A99"/>
            </a:solidFill>
            <a:ln>
              <a:solidFill>
                <a:srgbClr val="5B6573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F7A4D"/>
              </a:solidFill>
              <a:ln>
                <a:solidFill>
                  <a:srgbClr val="5B657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F4E-A5C0-CB03634B6D70}"/>
              </c:ext>
            </c:extLst>
          </c:dPt>
          <c:dPt>
            <c:idx val="3"/>
            <c:invertIfNegative val="0"/>
            <c:bubble3D val="0"/>
            <c:spPr>
              <a:solidFill>
                <a:srgbClr val="2F75B5"/>
              </a:solidFill>
              <a:ln>
                <a:solidFill>
                  <a:srgbClr val="5B657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1641-4F4E-A5C0-CB03634B6D70}"/>
              </c:ext>
            </c:extLst>
          </c:dPt>
          <c:dLbls>
            <c:numFmt formatCode="\₹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Comparison'!$B$5:$B$8</c:f>
              <c:strCache>
                <c:ptCount val="4"/>
                <c:pt idx="0">
                  <c:v>IT World India Tech Pvt. Ltd.</c:v>
                </c:pt>
                <c:pt idx="1">
                  <c:v>GNR Solution Pvt. Ltd.</c:v>
                </c:pt>
                <c:pt idx="2">
                  <c:v>Turbonet Systems Pvt. Ltd.</c:v>
                </c:pt>
                <c:pt idx="3">
                  <c:v>HP India Sales Pvt. Ltd.</c:v>
                </c:pt>
              </c:strCache>
            </c:strRef>
          </c:cat>
          <c:val>
            <c:numRef>
              <c:f>'Final Comparison'!$C$5:$C$8</c:f>
              <c:numCache>
                <c:formatCode>\₹#,##0.00;[Red]\(\₹#,##0.00\);\-</c:formatCode>
                <c:ptCount val="4"/>
                <c:pt idx="0">
                  <c:v>2054380</c:v>
                </c:pt>
                <c:pt idx="1">
                  <c:v>2185360</c:v>
                </c:pt>
                <c:pt idx="2">
                  <c:v>2208358.2000000002</c:v>
                </c:pt>
                <c:pt idx="3">
                  <c:v>2296716.6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1-4F4E-A5C0-CB03634B6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5224840"/>
        <c:axId val="2055255048"/>
      </c:barChart>
      <c:catAx>
        <c:axId val="2055224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255048"/>
        <c:crosses val="autoZero"/>
        <c:auto val="1"/>
        <c:lblAlgn val="ctr"/>
        <c:lblOffset val="100"/>
        <c:noMultiLvlLbl val="0"/>
      </c:catAx>
      <c:valAx>
        <c:axId val="205525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224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3" name="Vendor Total Cost Comparison">
          <a:extLst>
            <a:ext uri="{FF2B5EF4-FFF2-40B4-BE49-F238E27FC236}">
              <a16:creationId xmlns:a16="http://schemas.microsoft.com/office/drawing/2014/main" id="{3A3D0975-400B-7F04-4AE8-6946F2E7C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7A89F-06D8-4F59-9845-B597B9418F78}" name="VendorQuoteDetails" displayName="VendorQuoteDetails" ref="A5:P9" totalsRowShown="0" headerRowDxfId="17" dataDxfId="16">
  <autoFilter ref="A5:P9" xr:uid="{00000000-0009-0000-0000-000001000000}"/>
  <tableColumns count="16">
    <tableColumn id="1" xr3:uid="{098EB6E0-A416-4CFA-BF04-B23A6A89A00F}" name="Vendor" dataDxfId="15"/>
    <tableColumn id="2" xr3:uid="{B9FFBF70-65EB-4FC5-8EAA-87506D9A3C96}" name="Quote Date" dataDxfId="14"/>
    <tableColumn id="3" xr3:uid="{28E11525-5142-449E-BB14-2DC93B3127D7}" name="Quote Ref / Source" dataDxfId="13"/>
    <tableColumn id="4" xr3:uid="{DCC0A135-A9E9-45C7-AEA4-897BD44FC2D9}" name="OEM Part No." dataDxfId="12"/>
    <tableColumn id="5" xr3:uid="{F790D165-97FE-47A6-8C98-6590A0414B49}" name="Qty" dataDxfId="11"/>
    <tableColumn id="6" xr3:uid="{1CE723CD-1FEC-4FB2-BFFC-77E746217116}" name="Base Laptop Total Excl. GST" dataDxfId="10"/>
    <tableColumn id="7" xr3:uid="{151C551D-A210-4BF6-BDF8-723E557F6533}" name="ADP Total Excl. GST" dataDxfId="9"/>
    <tableColumn id="8" xr3:uid="{9B2F864D-56DD-4BAA-81C0-796288EC4D82}" name="Accessories / Hash Excl. GST" dataDxfId="8"/>
    <tableColumn id="9" xr3:uid="{AEA1E67F-E273-45E2-9939-AB15243DBB8D}" name="Total Excl. GST" dataDxfId="7">
      <calculatedColumnFormula>SUM(F6:H6)</calculatedColumnFormula>
    </tableColumn>
    <tableColumn id="10" xr3:uid="{771AB711-C4AB-4969-AD16-B68C4B2E45F3}" name="GST @ 18%" dataDxfId="6">
      <calculatedColumnFormula>I6*18%</calculatedColumnFormula>
    </tableColumn>
    <tableColumn id="11" xr3:uid="{A1F8F6E7-E76E-4010-B54F-0315196BD529}" name="Grand Total Incl. GST" dataDxfId="5">
      <calculatedColumnFormula>I6+J6</calculatedColumnFormula>
    </tableColumn>
    <tableColumn id="12" xr3:uid="{EB0A865D-7DAB-40DF-A3DD-7E882F88DDF1}" name="Unit Total Incl. GST" dataDxfId="4">
      <calculatedColumnFormula>K6/E6</calculatedColumnFormula>
    </tableColumn>
    <tableColumn id="13" xr3:uid="{B0E2450F-D16B-47CD-B865-F6FEADC4BEB0}" name="Warranty" dataDxfId="3"/>
    <tableColumn id="14" xr3:uid="{240CB5BD-4121-4E19-B97F-80F8CFD9037C}" name="Delivery" dataDxfId="2"/>
    <tableColumn id="15" xr3:uid="{723780E9-439B-414C-A364-611876229503}" name="Payment / Validity" dataDxfId="1"/>
    <tableColumn id="16" xr3:uid="{5B177B94-CBD0-40A2-9EC7-31D5781794B9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showGridLines="0" tabSelected="1" zoomScale="85" zoomScaleNormal="85" workbookViewId="0">
      <pane ySplit="2" topLeftCell="A3" activePane="bottomLeft" state="frozen"/>
      <selection pane="bottomLeft" activeCell="A3" sqref="A3:XFD3"/>
    </sheetView>
  </sheetViews>
  <sheetFormatPr defaultColWidth="8.7265625" defaultRowHeight="14.5" x14ac:dyDescent="0.35"/>
  <cols>
    <col min="1" max="1" width="9.1796875" customWidth="1"/>
    <col min="2" max="2" width="28.54296875" customWidth="1"/>
    <col min="3" max="4" width="21" customWidth="1"/>
    <col min="5" max="5" width="29.54296875" customWidth="1"/>
    <col min="6" max="6" width="41.81640625" customWidth="1"/>
    <col min="7" max="7" width="38" customWidth="1"/>
    <col min="8" max="8" width="48" customWidth="1"/>
  </cols>
  <sheetData>
    <row r="1" spans="1:6" ht="32.25" customHeight="1" x14ac:dyDescent="0.55000000000000004">
      <c r="A1" s="25" t="s">
        <v>0</v>
      </c>
      <c r="B1" s="25"/>
      <c r="C1" s="25"/>
      <c r="D1" s="25"/>
      <c r="E1" s="25"/>
      <c r="F1" s="25"/>
    </row>
    <row r="2" spans="1:6" ht="24" customHeight="1" x14ac:dyDescent="0.35">
      <c r="A2" s="26" t="s">
        <v>1</v>
      </c>
      <c r="B2" s="26"/>
      <c r="C2" s="26"/>
      <c r="D2" s="26"/>
      <c r="E2" s="26"/>
      <c r="F2" s="26"/>
    </row>
    <row r="3" spans="1:6" ht="21.75" customHeight="1" x14ac:dyDescent="0.35">
      <c r="A3" s="10" t="s">
        <v>2</v>
      </c>
      <c r="B3" s="10"/>
      <c r="C3" s="10"/>
      <c r="D3" s="10"/>
      <c r="E3" s="10"/>
      <c r="F3" s="10"/>
    </row>
    <row r="4" spans="1:6" ht="32.25" customHeight="1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ht="43.5" x14ac:dyDescent="0.35">
      <c r="A5" s="19">
        <f>RANK(C5,$C$5:$C$8,1)</f>
        <v>1</v>
      </c>
      <c r="B5" s="20" t="str">
        <f>'Quote Details'!A6</f>
        <v>IT World India Tech Pvt. Ltd.</v>
      </c>
      <c r="C5" s="21">
        <f>'Quote Details'!K6</f>
        <v>2054380</v>
      </c>
      <c r="D5" s="21">
        <f>C5-MIN($C$5:$C$8)</f>
        <v>0</v>
      </c>
      <c r="E5" s="18" t="str">
        <f>'Quote Details'!O6&amp;CHAR(10)&amp;'Quote Details'!N6</f>
        <v>100% advance with PO | Valid through 22-Aug-2026
1 week after PO</v>
      </c>
      <c r="F5" s="22" t="s">
        <v>9</v>
      </c>
    </row>
    <row r="6" spans="1:6" ht="36" x14ac:dyDescent="0.35">
      <c r="A6" s="16">
        <f>RANK(C6,$C$5:$C$8,1)</f>
        <v>2</v>
      </c>
      <c r="B6" s="3" t="str">
        <f>'Quote Details'!A7</f>
        <v>GNR Solution Pvt. Ltd.</v>
      </c>
      <c r="C6" s="2">
        <f>'Quote Details'!K7</f>
        <v>2185360</v>
      </c>
      <c r="D6" s="2">
        <f>C6-MIN($C$5:$C$8)</f>
        <v>130980</v>
      </c>
      <c r="E6" s="11" t="str">
        <f>'Quote Details'!O7&amp;CHAR(10)&amp;'Quote Details'!N7</f>
        <v>30 days | Valid 3 days
4-5 days from PO</v>
      </c>
      <c r="F6" s="4" t="s">
        <v>10</v>
      </c>
    </row>
    <row r="7" spans="1:6" ht="36" x14ac:dyDescent="0.35">
      <c r="A7" s="16">
        <f>RANK(C7,$C$5:$C$8,1)</f>
        <v>3</v>
      </c>
      <c r="B7" s="3" t="str">
        <f>'Quote Details'!A8</f>
        <v>Turbonet Systems Pvt. Ltd.</v>
      </c>
      <c r="C7" s="2">
        <f>'Quote Details'!K8</f>
        <v>2208358.2000000002</v>
      </c>
      <c r="D7" s="2">
        <f>C7-MIN($C$5:$C$8)</f>
        <v>153978.20000000019</v>
      </c>
      <c r="E7" s="11" t="str">
        <f>'Quote Details'!O8&amp;CHAR(10)&amp;'Quote Details'!N8</f>
        <v>100% advance | Valid 2 days
5-7 days after PO and payment</v>
      </c>
      <c r="F7" s="4" t="s">
        <v>11</v>
      </c>
    </row>
    <row r="8" spans="1:6" ht="72.5" x14ac:dyDescent="0.35">
      <c r="A8" s="17">
        <f>RANK(C8,$C$5:$C$8,1)</f>
        <v>4</v>
      </c>
      <c r="B8" s="15" t="str">
        <f>'Quote Details'!A9</f>
        <v>HP India Sales Pvt. Ltd.</v>
      </c>
      <c r="C8" s="13">
        <f>'Quote Details'!K9</f>
        <v>2296716.6</v>
      </c>
      <c r="D8" s="13">
        <f>C8-MIN($C$5:$C$8)</f>
        <v>242336.60000000009</v>
      </c>
      <c r="E8" s="12" t="str">
        <f>'Quote Details'!O9&amp;CHAR(10)&amp;'Quote Details'!N9</f>
        <v>100% advance | Expired 23-Aug-2026
1-2 weeks after clean PO/payment; email says within 7 days</v>
      </c>
      <c r="F8" s="14" t="s">
        <v>12</v>
      </c>
    </row>
    <row r="9" spans="1:6" ht="21.75" customHeight="1" x14ac:dyDescent="0.35">
      <c r="A9" s="23" t="s">
        <v>13</v>
      </c>
      <c r="B9" s="23"/>
      <c r="C9" s="23"/>
      <c r="D9" s="23"/>
      <c r="E9" s="23"/>
      <c r="F9" s="23"/>
    </row>
    <row r="10" spans="1:6" ht="23.25" customHeight="1" x14ac:dyDescent="0.35">
      <c r="A10" s="24" t="s">
        <v>14</v>
      </c>
      <c r="B10" s="24"/>
      <c r="C10" s="24"/>
      <c r="D10" s="24"/>
      <c r="E10" s="24"/>
      <c r="F10" s="24"/>
    </row>
    <row r="11" spans="1:6" ht="23.25" customHeight="1" x14ac:dyDescent="0.35">
      <c r="A11" s="24"/>
      <c r="B11" s="24"/>
      <c r="C11" s="24"/>
      <c r="D11" s="24"/>
      <c r="E11" s="24"/>
      <c r="F11" s="24"/>
    </row>
    <row r="12" spans="1:6" ht="23.25" customHeight="1" x14ac:dyDescent="0.35">
      <c r="A12" s="24"/>
      <c r="B12" s="24"/>
      <c r="C12" s="24"/>
      <c r="D12" s="24"/>
      <c r="E12" s="24"/>
      <c r="F12" s="24"/>
    </row>
    <row r="13" spans="1:6" ht="23.25" customHeight="1" x14ac:dyDescent="0.35">
      <c r="A13" s="24"/>
      <c r="B13" s="24"/>
      <c r="C13" s="24"/>
      <c r="D13" s="24"/>
      <c r="E13" s="24"/>
      <c r="F13" s="24"/>
    </row>
    <row r="14" spans="1:6" ht="21.75" customHeight="1" x14ac:dyDescent="0.35">
      <c r="A14" s="23" t="s">
        <v>15</v>
      </c>
      <c r="B14" s="23"/>
      <c r="C14" s="23"/>
      <c r="D14" s="23"/>
      <c r="E14" s="23"/>
      <c r="F14" s="23"/>
    </row>
  </sheetData>
  <mergeCells count="5">
    <mergeCell ref="A9:F9"/>
    <mergeCell ref="A10:F13"/>
    <mergeCell ref="A14:F14"/>
    <mergeCell ref="A1:F1"/>
    <mergeCell ref="A2:F2"/>
  </mergeCells>
  <pageMargins left="0.75" right="0.75" top="1" bottom="1" header="0.5" footer="0.5"/>
  <pageSetup fitToHeight="0" orientation="portrait" horizontalDpi="300" verticalDpi="300"/>
  <headerFooter>
    <oddHeader>&amp;C&amp;"Calibri,Bold"Final Comparison</oddHeader>
    <oddFooter>&amp;LPrepared for internal procurement evaluation&amp;RPage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9"/>
  <sheetViews>
    <sheetView showGridLines="0" zoomScale="85" zoomScaleNormal="85" workbookViewId="0">
      <pane ySplit="5" topLeftCell="A6" activePane="bottomLeft" state="frozen"/>
      <selection pane="bottomLeft" activeCell="D7" sqref="D7"/>
    </sheetView>
  </sheetViews>
  <sheetFormatPr defaultColWidth="8.7265625" defaultRowHeight="14.5" x14ac:dyDescent="0.35"/>
  <cols>
    <col min="1" max="1" width="28.54296875" customWidth="1"/>
    <col min="2" max="2" width="14.81640625" customWidth="1"/>
    <col min="3" max="3" width="33.26953125" customWidth="1"/>
    <col min="4" max="4" width="16.1796875" customWidth="1"/>
    <col min="5" max="5" width="8" customWidth="1"/>
    <col min="6" max="6" width="20" customWidth="1"/>
    <col min="7" max="7" width="18.1796875" customWidth="1"/>
    <col min="8" max="8" width="21.81640625" customWidth="1"/>
    <col min="9" max="9" width="20" customWidth="1"/>
    <col min="10" max="10" width="18.1796875" customWidth="1"/>
    <col min="11" max="11" width="21" customWidth="1"/>
    <col min="12" max="12" width="20" customWidth="1"/>
    <col min="13" max="13" width="27.54296875" customWidth="1"/>
    <col min="14" max="14" width="29.54296875" customWidth="1"/>
    <col min="15" max="15" width="33.26953125" customWidth="1"/>
    <col min="16" max="16" width="38.1796875" customWidth="1"/>
  </cols>
  <sheetData>
    <row r="1" spans="1:16" ht="32.25" customHeight="1" x14ac:dyDescent="0.55000000000000004">
      <c r="A1" s="27" t="s">
        <v>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4" customHeight="1" x14ac:dyDescent="0.35">
      <c r="A2" s="28" t="s">
        <v>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5" spans="1:16" ht="42" customHeight="1" x14ac:dyDescent="0.35">
      <c r="A5" s="5" t="s">
        <v>4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5</v>
      </c>
      <c r="L5" s="5" t="s">
        <v>27</v>
      </c>
      <c r="M5" s="5" t="s">
        <v>28</v>
      </c>
      <c r="N5" s="5" t="s">
        <v>29</v>
      </c>
      <c r="O5" s="5" t="s">
        <v>30</v>
      </c>
      <c r="P5" s="5" t="s">
        <v>31</v>
      </c>
    </row>
    <row r="6" spans="1:16" ht="52" x14ac:dyDescent="0.35">
      <c r="A6" s="6" t="s">
        <v>32</v>
      </c>
      <c r="B6" s="7">
        <v>46255</v>
      </c>
      <c r="C6" s="6" t="s">
        <v>33</v>
      </c>
      <c r="D6" s="6" t="s">
        <v>34</v>
      </c>
      <c r="E6" s="8">
        <v>10</v>
      </c>
      <c r="F6" s="9">
        <v>1741000</v>
      </c>
      <c r="G6" s="9">
        <v>0</v>
      </c>
      <c r="H6" s="9">
        <v>0</v>
      </c>
      <c r="I6" s="9">
        <f>SUM(F6:H6)</f>
        <v>1741000</v>
      </c>
      <c r="J6" s="9">
        <f>I6*18%</f>
        <v>313380</v>
      </c>
      <c r="K6" s="9">
        <f>I6+J6</f>
        <v>2054380</v>
      </c>
      <c r="L6" s="9">
        <f>K6/E6</f>
        <v>205438</v>
      </c>
      <c r="M6" s="6" t="s">
        <v>35</v>
      </c>
      <c r="N6" s="6" t="s">
        <v>36</v>
      </c>
      <c r="O6" s="6" t="s">
        <v>37</v>
      </c>
      <c r="P6" s="6" t="s">
        <v>38</v>
      </c>
    </row>
    <row r="7" spans="1:16" ht="39" x14ac:dyDescent="0.35">
      <c r="A7" s="6" t="s">
        <v>39</v>
      </c>
      <c r="B7" s="7">
        <v>46255</v>
      </c>
      <c r="C7" s="6" t="s">
        <v>40</v>
      </c>
      <c r="D7" s="6" t="s">
        <v>41</v>
      </c>
      <c r="E7" s="8">
        <v>10</v>
      </c>
      <c r="F7" s="9">
        <v>1791000</v>
      </c>
      <c r="G7" s="9">
        <v>52500</v>
      </c>
      <c r="H7" s="9">
        <v>8500</v>
      </c>
      <c r="I7" s="9">
        <f>SUM(F7:H7)</f>
        <v>1852000</v>
      </c>
      <c r="J7" s="9">
        <f>I7*18%</f>
        <v>333360</v>
      </c>
      <c r="K7" s="9">
        <f>I7+J7</f>
        <v>2185360</v>
      </c>
      <c r="L7" s="9">
        <f>K7/E7</f>
        <v>218536</v>
      </c>
      <c r="M7" s="6" t="s">
        <v>42</v>
      </c>
      <c r="N7" s="6" t="s">
        <v>43</v>
      </c>
      <c r="O7" s="6" t="s">
        <v>44</v>
      </c>
      <c r="P7" s="6" t="s">
        <v>45</v>
      </c>
    </row>
    <row r="8" spans="1:16" ht="26" x14ac:dyDescent="0.35">
      <c r="A8" s="6" t="s">
        <v>46</v>
      </c>
      <c r="B8" s="7">
        <v>46255</v>
      </c>
      <c r="C8" s="6" t="s">
        <v>47</v>
      </c>
      <c r="D8" s="6" t="s">
        <v>34</v>
      </c>
      <c r="E8" s="8">
        <v>10</v>
      </c>
      <c r="F8" s="9">
        <v>1806500</v>
      </c>
      <c r="G8" s="9">
        <v>64990</v>
      </c>
      <c r="H8" s="9">
        <v>0</v>
      </c>
      <c r="I8" s="9">
        <f>SUM(F8:H8)</f>
        <v>1871490</v>
      </c>
      <c r="J8" s="9">
        <f>I8*18%</f>
        <v>336868.2</v>
      </c>
      <c r="K8" s="9">
        <f>I8+J8</f>
        <v>2208358.2000000002</v>
      </c>
      <c r="L8" s="9">
        <f>K8/E8</f>
        <v>220835.82</v>
      </c>
      <c r="M8" s="6" t="s">
        <v>48</v>
      </c>
      <c r="N8" s="6" t="s">
        <v>49</v>
      </c>
      <c r="O8" s="6" t="s">
        <v>50</v>
      </c>
      <c r="P8" s="6" t="s">
        <v>51</v>
      </c>
    </row>
    <row r="9" spans="1:16" ht="39" x14ac:dyDescent="0.35">
      <c r="A9" s="6" t="s">
        <v>52</v>
      </c>
      <c r="B9" s="7">
        <v>46255</v>
      </c>
      <c r="C9" s="6" t="s">
        <v>53</v>
      </c>
      <c r="D9" s="6" t="s">
        <v>54</v>
      </c>
      <c r="E9" s="8">
        <v>10</v>
      </c>
      <c r="F9" s="9">
        <v>1878000</v>
      </c>
      <c r="G9" s="9">
        <v>46000</v>
      </c>
      <c r="H9" s="9">
        <v>22370</v>
      </c>
      <c r="I9" s="9">
        <f>SUM(F9:H9)</f>
        <v>1946370</v>
      </c>
      <c r="J9" s="9">
        <f>I9*18%</f>
        <v>350346.6</v>
      </c>
      <c r="K9" s="9">
        <f>I9+J9</f>
        <v>2296716.6</v>
      </c>
      <c r="L9" s="9">
        <f>K9/E9</f>
        <v>229671.66</v>
      </c>
      <c r="M9" s="6" t="s">
        <v>55</v>
      </c>
      <c r="N9" s="6" t="s">
        <v>56</v>
      </c>
      <c r="O9" s="6" t="s">
        <v>57</v>
      </c>
      <c r="P9" s="6" t="s">
        <v>58</v>
      </c>
    </row>
  </sheetData>
  <mergeCells count="2">
    <mergeCell ref="A1:P1"/>
    <mergeCell ref="A2:P2"/>
  </mergeCells>
  <pageMargins left="0.75" right="0.75" top="1" bottom="1" header="0.5" footer="0.5"/>
  <pageSetup fitToHeight="0" orientation="portrait" horizontalDpi="300" verticalDpi="300"/>
  <headerFooter>
    <oddHeader>&amp;C&amp;"Calibri,Bold"Quote Details</oddHeader>
    <oddFooter>&amp;LPrepared for internal procurement evaluation&amp;RPage &amp;P of &amp;N</oddFooter>
  </headerFooter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Comparison</vt:lpstr>
      <vt:lpstr>Quote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>Dnyaneshwar Karande</cp:lastModifiedBy>
  <cp:revision>0</cp:revision>
  <dcterms:created xsi:type="dcterms:W3CDTF">2026-08-24T17:09:58Z</dcterms:created>
  <dcterms:modified xsi:type="dcterms:W3CDTF">2026-08-24T17:35:19Z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2026-08-24T17:09:58Z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d8c452db-217a-4c6e-b69b-c9414f57fed3</vt:lpwstr>
  </property>
  <property fmtid="{D5CDD505-2E9C-101B-9397-08002B2CF9AE}" pid="8" name="MSIP_Label_defa4170-0d19-0005-0004-bc88714345d2_ContentBits">
    <vt:lpwstr>0</vt:lpwstr>
  </property>
</Properties>
</file>