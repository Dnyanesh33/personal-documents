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E:\Rushii\Rushii\"/>
    </mc:Choice>
  </mc:AlternateContent>
  <xr:revisionPtr revIDLastSave="0" documentId="13_ncr:1_{1E6D007E-9AC7-4873-93D6-0BF465791A16}" xr6:coauthVersionLast="47" xr6:coauthVersionMax="47" xr10:uidLastSave="{00000000-0000-0000-0000-000000000000}"/>
  <bookViews>
    <workbookView xWindow="-108" yWindow="-108" windowWidth="23256" windowHeight="12456" xr2:uid="{7B86B51B-CE09-4B45-A962-5E4DF152F7CC}"/>
  </bookViews>
  <sheets>
    <sheet name="Sheet1"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5" i="1" l="1"/>
  <c r="F16" i="1" l="1"/>
  <c r="F17" i="1"/>
  <c r="F18" i="1"/>
  <c r="F19" i="1"/>
  <c r="F20" i="1"/>
  <c r="F21" i="1"/>
  <c r="F22" i="1"/>
  <c r="F24" i="1" l="1"/>
  <c r="F25" i="1" s="1"/>
</calcChain>
</file>

<file path=xl/sharedStrings.xml><?xml version="1.0" encoding="utf-8"?>
<sst xmlns="http://schemas.openxmlformats.org/spreadsheetml/2006/main" count="32" uniqueCount="30">
  <si>
    <r>
      <rPr>
        <b/>
        <sz val="12"/>
        <color rgb="FF000000"/>
        <rFont val="Times New Roman"/>
        <family val="1"/>
      </rPr>
      <t>RH Communication</t>
    </r>
    <r>
      <rPr>
        <sz val="12"/>
        <color rgb="FF000000"/>
        <rFont val="Times New Roman"/>
        <family val="1"/>
      </rPr>
      <t xml:space="preserve">
Prabhu Apartment, Ground Floor, Wanwadi, Pune 411040
Phone no. : +91 92256 25630
Email: Santosh@rhcommunication.co.in
GSTIN: 27AYVPB7455M1ZM
</t>
    </r>
  </si>
  <si>
    <t xml:space="preserve">BILL OF QUANTITY </t>
  </si>
  <si>
    <t>S.No.</t>
  </si>
  <si>
    <t>Part Number</t>
  </si>
  <si>
    <t>Part Description</t>
  </si>
  <si>
    <t>Qty</t>
  </si>
  <si>
    <t>MX85</t>
  </si>
  <si>
    <t>Meraki MX85 Router/Security Appliance</t>
  </si>
  <si>
    <t>MA-PWR-CORD-IN-FR</t>
  </si>
  <si>
    <t>Meraki AC Power Cord (India Plug)</t>
  </si>
  <si>
    <t>LIC-MX85-SEC-3Y</t>
  </si>
  <si>
    <t>Meraki MX85 Advanced Security License and Support, 3YR</t>
  </si>
  <si>
    <t>MS150-48MP-4X</t>
  </si>
  <si>
    <t>Meraki MS150-48MP-4X Cld-Mngd 32GE + 16(5GE) 740W PoE Switch</t>
  </si>
  <si>
    <t>LIC-MS150-48-3Y</t>
  </si>
  <si>
    <t>Meraki MS150-48 Enterprise License and Support, 3 Year</t>
  </si>
  <si>
    <t>CW9164I-MR</t>
  </si>
  <si>
    <t>Catalyst 9164I AP (W6E, tri-band 4x4) w/Meraki</t>
  </si>
  <si>
    <t>LIC-ENT-3YR</t>
  </si>
  <si>
    <t>Meraki MR Enterprise License, 3YR</t>
  </si>
  <si>
    <t>Unit</t>
  </si>
  <si>
    <t>AMT</t>
  </si>
  <si>
    <t>GRAND TOTAL</t>
  </si>
  <si>
    <t>18% GST Extra</t>
  </si>
  <si>
    <t>Terms and Conditions</t>
  </si>
  <si>
    <t>2. Warranty strictly as per OEM norms No Warranty. On Physical Damage, Burnt, Cut and action as per their service instructions, if our team is to do the separate charges as per the nature of the problem.</t>
  </si>
  <si>
    <t>5. Quotation valid only for 5 days.</t>
  </si>
  <si>
    <t>1. 100% advance payment along with the firm Po.</t>
  </si>
  <si>
    <t>3. Availability is material delivery in 8 working days from the Placement of the Purchase order &amp; Payment.</t>
  </si>
  <si>
    <t>4. Transportation charges are separate as per the receipt.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</si>
</sst>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family val="2"/>
      <scheme val="minor"/>
    </font>
    <font>
      <sz val="12"/>
      <color rgb="FF000000"/>
      <name val="Times New Roman"/>
      <family val="1"/>
    </font>
    <font>
      <b/>
      <sz val="12"/>
      <color rgb="FF000000"/>
      <name val="Times New Roman"/>
      <family val="1"/>
    </font>
    <font>
      <sz val="10"/>
      <name val="Courier"/>
      <family val="3"/>
    </font>
    <font>
      <b/>
      <sz val="11"/>
      <color theme="1"/>
      <name val="Calibri"/>
      <family val="2"/>
    </font>
    <font>
      <sz val="11"/>
      <color theme="1"/>
      <name val="Arial"/>
      <family val="2"/>
    </font>
    <font>
      <sz val="11"/>
      <color rgb="FF333333"/>
      <name val="Arial"/>
      <family val="2"/>
    </font>
    <font>
      <sz val="11"/>
      <color theme="1"/>
      <name val="Arial Nova"/>
      <family val="2"/>
    </font>
    <font>
      <sz val="11"/>
      <color rgb="FF333333"/>
      <name val="Arial Nova"/>
      <family val="2"/>
    </font>
    <font>
      <sz val="10"/>
      <name val="Calibri"/>
      <family val="2"/>
    </font>
    <font>
      <sz val="10"/>
      <name val="Helv"/>
      <charset val="204"/>
    </font>
    <font>
      <b/>
      <sz val="10"/>
      <name val="Calibri"/>
      <family val="2"/>
    </font>
    <font>
      <b/>
      <sz val="11"/>
      <name val="Calibri"/>
      <family val="2"/>
    </font>
    <font>
      <b/>
      <sz val="11"/>
      <name val="Arial Nova"/>
      <family val="2"/>
    </font>
    <font>
      <sz val="10"/>
      <color rgb="FF000000"/>
      <name val="Calibri"/>
      <family val="2"/>
      <scheme val="minor"/>
    </font>
    <font>
      <sz val="11"/>
      <color rgb="FF000000"/>
      <name val="Calibri"/>
      <family val="2"/>
      <scheme val="minor"/>
    </font>
  </fonts>
  <fills count="6">
    <fill>
      <patternFill patternType="none"/>
    </fill>
    <fill>
      <patternFill patternType="gray125"/>
    </fill>
    <fill>
      <patternFill patternType="solid">
        <fgColor theme="9"/>
        <bgColor indexed="64"/>
      </patternFill>
    </fill>
    <fill>
      <patternFill patternType="solid">
        <fgColor rgb="FFFFFF00"/>
        <bgColor indexed="64"/>
      </patternFill>
    </fill>
    <fill>
      <patternFill patternType="solid">
        <fgColor rgb="FFFFFFFF"/>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style="medium">
        <color rgb="FF000000"/>
      </right>
      <top style="medium">
        <color rgb="FFCCCCCC"/>
      </top>
      <bottom/>
      <diagonal/>
    </border>
    <border>
      <left style="medium">
        <color rgb="FFCCCCCC"/>
      </left>
      <right style="medium">
        <color rgb="FF000000"/>
      </right>
      <top style="medium">
        <color rgb="FFCCCCCC"/>
      </top>
      <bottom/>
      <diagonal/>
    </border>
    <border>
      <left style="medium">
        <color indexed="64"/>
      </left>
      <right style="medium">
        <color indexed="64"/>
      </right>
      <top/>
      <bottom style="medium">
        <color indexed="64"/>
      </bottom>
      <diagonal/>
    </border>
  </borders>
  <cellStyleXfs count="3">
    <xf numFmtId="0" fontId="0" fillId="0" borderId="0"/>
    <xf numFmtId="0" fontId="3" fillId="0" borderId="0"/>
    <xf numFmtId="0" fontId="10" fillId="0" borderId="0"/>
  </cellStyleXfs>
  <cellXfs count="32">
    <xf numFmtId="0" fontId="0" fillId="0" borderId="0" xfId="0"/>
    <xf numFmtId="0" fontId="1" fillId="0" borderId="0" xfId="0" applyFont="1" applyAlignment="1">
      <alignment horizontal="center" wrapText="1"/>
    </xf>
    <xf numFmtId="0" fontId="4" fillId="2" borderId="1" xfId="1" applyFont="1" applyFill="1" applyBorder="1" applyAlignment="1">
      <alignment horizontal="center" vertical="center"/>
    </xf>
    <xf numFmtId="0" fontId="5" fillId="3" borderId="2" xfId="0" applyFont="1" applyFill="1" applyBorder="1" applyAlignment="1">
      <alignment wrapText="1"/>
    </xf>
    <xf numFmtId="0" fontId="5" fillId="3" borderId="3" xfId="0" applyFont="1" applyFill="1" applyBorder="1" applyAlignment="1">
      <alignment wrapText="1"/>
    </xf>
    <xf numFmtId="0" fontId="6" fillId="4" borderId="4" xfId="0" applyFont="1" applyFill="1" applyBorder="1" applyAlignment="1">
      <alignment horizontal="right" wrapText="1"/>
    </xf>
    <xf numFmtId="0" fontId="6" fillId="4" borderId="5" xfId="0" applyFont="1" applyFill="1" applyBorder="1" applyAlignment="1">
      <alignment wrapText="1"/>
    </xf>
    <xf numFmtId="0" fontId="6" fillId="4" borderId="5" xfId="0" applyFont="1" applyFill="1" applyBorder="1" applyAlignment="1">
      <alignment horizontal="right" wrapText="1"/>
    </xf>
    <xf numFmtId="0" fontId="5" fillId="3" borderId="3" xfId="0" applyFont="1" applyFill="1" applyBorder="1" applyAlignment="1">
      <alignment horizontal="center" wrapText="1"/>
    </xf>
    <xf numFmtId="0" fontId="7" fillId="0" borderId="2" xfId="0" applyFont="1" applyBorder="1" applyAlignment="1">
      <alignment horizontal="right" wrapText="1"/>
    </xf>
    <xf numFmtId="0" fontId="8" fillId="4" borderId="5" xfId="0" applyFont="1" applyFill="1" applyBorder="1" applyAlignment="1">
      <alignment horizontal="right" wrapText="1"/>
    </xf>
    <xf numFmtId="0" fontId="7" fillId="0" borderId="4" xfId="0" applyFont="1" applyBorder="1" applyAlignment="1">
      <alignment horizontal="right" wrapText="1"/>
    </xf>
    <xf numFmtId="0" fontId="12" fillId="5" borderId="7" xfId="2" applyFont="1" applyFill="1" applyBorder="1" applyAlignment="1">
      <alignment horizontal="center" vertical="justify" wrapText="1"/>
    </xf>
    <xf numFmtId="0" fontId="12" fillId="5" borderId="8" xfId="2" applyFont="1" applyFill="1" applyBorder="1" applyAlignment="1">
      <alignment horizontal="center" vertical="justify" wrapText="1"/>
    </xf>
    <xf numFmtId="0" fontId="12" fillId="5" borderId="9" xfId="2" applyFont="1" applyFill="1" applyBorder="1" applyAlignment="1">
      <alignment horizontal="center" vertical="justify" wrapText="1"/>
    </xf>
    <xf numFmtId="0" fontId="6" fillId="4" borderId="10" xfId="0" applyFont="1" applyFill="1" applyBorder="1" applyAlignment="1">
      <alignment horizontal="right" wrapText="1"/>
    </xf>
    <xf numFmtId="0" fontId="6" fillId="4" borderId="11" xfId="0" applyFont="1" applyFill="1" applyBorder="1" applyAlignment="1">
      <alignment wrapText="1"/>
    </xf>
    <xf numFmtId="0" fontId="6" fillId="4" borderId="11" xfId="0" applyFont="1" applyFill="1" applyBorder="1" applyAlignment="1">
      <alignment horizontal="right" wrapText="1"/>
    </xf>
    <xf numFmtId="0" fontId="7" fillId="0" borderId="10" xfId="0" applyFont="1" applyBorder="1" applyAlignment="1">
      <alignment horizontal="right" wrapText="1"/>
    </xf>
    <xf numFmtId="0" fontId="8" fillId="4" borderId="11" xfId="0" applyFont="1" applyFill="1" applyBorder="1" applyAlignment="1">
      <alignment horizontal="right" wrapText="1"/>
    </xf>
    <xf numFmtId="0" fontId="9" fillId="5" borderId="12" xfId="1" applyFont="1" applyFill="1" applyBorder="1" applyAlignment="1">
      <alignment horizontal="center" vertical="justify" wrapText="1"/>
    </xf>
    <xf numFmtId="0" fontId="11" fillId="5" borderId="12" xfId="2" applyFont="1" applyFill="1" applyBorder="1" applyAlignment="1">
      <alignment horizontal="center" vertical="justify" wrapText="1"/>
    </xf>
    <xf numFmtId="0" fontId="6" fillId="4" borderId="6" xfId="0" applyFont="1" applyFill="1" applyBorder="1" applyAlignment="1">
      <alignment horizontal="right" wrapText="1"/>
    </xf>
    <xf numFmtId="0" fontId="6" fillId="4" borderId="6" xfId="0" applyFont="1" applyFill="1" applyBorder="1" applyAlignment="1">
      <alignment wrapText="1"/>
    </xf>
    <xf numFmtId="0" fontId="7" fillId="0" borderId="6" xfId="0" applyFont="1" applyBorder="1" applyAlignment="1">
      <alignment horizontal="right" wrapText="1"/>
    </xf>
    <xf numFmtId="0" fontId="8" fillId="4" borderId="6" xfId="0" applyFont="1" applyFill="1" applyBorder="1" applyAlignment="1">
      <alignment horizontal="right" wrapText="1"/>
    </xf>
    <xf numFmtId="0" fontId="13" fillId="5" borderId="6" xfId="2" applyFont="1" applyFill="1" applyBorder="1" applyAlignment="1">
      <alignment vertical="justify" wrapText="1"/>
    </xf>
    <xf numFmtId="0" fontId="13" fillId="0" borderId="12" xfId="1" applyFont="1" applyBorder="1" applyAlignment="1">
      <alignment horizontal="right" vertical="justify" wrapText="1"/>
    </xf>
    <xf numFmtId="0" fontId="11" fillId="0" borderId="1" xfId="1" applyFont="1" applyBorder="1" applyAlignment="1">
      <alignment horizontal="justify" vertical="justify"/>
    </xf>
    <xf numFmtId="0" fontId="9" fillId="0" borderId="1" xfId="1" applyFont="1" applyBorder="1" applyAlignment="1">
      <alignment horizontal="justify" vertical="justify"/>
    </xf>
    <xf numFmtId="0" fontId="14" fillId="0" borderId="1" xfId="0" applyFont="1" applyBorder="1"/>
    <xf numFmtId="0" fontId="15" fillId="0" borderId="1" xfId="0" applyFont="1" applyBorder="1" applyAlignment="1">
      <alignment wrapText="1"/>
    </xf>
  </cellXfs>
  <cellStyles count="3">
    <cellStyle name="_Internal BOQ-22.07.09" xfId="2" xr:uid="{4A187DD7-931B-41C0-9D48-86B9CE415BC1}"/>
    <cellStyle name="Normal" xfId="0" builtinId="0"/>
    <cellStyle name="Normal 2 3" xfId="1" xr:uid="{720089FB-9EEC-46B2-834F-72028C4BCDF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2</xdr:col>
      <xdr:colOff>769620</xdr:colOff>
      <xdr:row>1</xdr:row>
      <xdr:rowOff>7620</xdr:rowOff>
    </xdr:from>
    <xdr:to>
      <xdr:col>2</xdr:col>
      <xdr:colOff>2070735</xdr:colOff>
      <xdr:row>4</xdr:row>
      <xdr:rowOff>32384</xdr:rowOff>
    </xdr:to>
    <xdr:pic>
      <xdr:nvPicPr>
        <xdr:cNvPr id="2" name="Picture 1">
          <a:extLst>
            <a:ext uri="{FF2B5EF4-FFF2-40B4-BE49-F238E27FC236}">
              <a16:creationId xmlns:a16="http://schemas.microsoft.com/office/drawing/2014/main" id="{88F2EAD6-0773-4D5A-9E84-4FAFDF4FD4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24100" y="190500"/>
          <a:ext cx="1301115" cy="5734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CE267-656D-4613-A9C7-FEE3ECB986A6}">
  <dimension ref="A1:F32"/>
  <sheetViews>
    <sheetView tabSelected="1" topLeftCell="A25" workbookViewId="0">
      <selection activeCell="J34" sqref="J34"/>
    </sheetView>
  </sheetViews>
  <sheetFormatPr defaultRowHeight="14.4"/>
  <cols>
    <col min="2" max="2" width="13.77734375" customWidth="1"/>
    <col min="3" max="3" width="39.6640625" customWidth="1"/>
    <col min="4" max="4" width="5.88671875" customWidth="1"/>
    <col min="5" max="5" width="11.109375" customWidth="1"/>
    <col min="6" max="6" width="14" customWidth="1"/>
  </cols>
  <sheetData>
    <row r="1" spans="1:6">
      <c r="A1" s="1" t="s">
        <v>0</v>
      </c>
      <c r="B1" s="1"/>
      <c r="C1" s="1"/>
      <c r="D1" s="1"/>
      <c r="E1" s="1"/>
      <c r="F1" s="1"/>
    </row>
    <row r="2" spans="1:6">
      <c r="A2" s="1"/>
      <c r="B2" s="1"/>
      <c r="C2" s="1"/>
      <c r="D2" s="1"/>
      <c r="E2" s="1"/>
      <c r="F2" s="1"/>
    </row>
    <row r="3" spans="1:6">
      <c r="A3" s="1"/>
      <c r="B3" s="1"/>
      <c r="C3" s="1"/>
      <c r="D3" s="1"/>
      <c r="E3" s="1"/>
      <c r="F3" s="1"/>
    </row>
    <row r="4" spans="1:6">
      <c r="A4" s="1"/>
      <c r="B4" s="1"/>
      <c r="C4" s="1"/>
      <c r="D4" s="1"/>
      <c r="E4" s="1"/>
      <c r="F4" s="1"/>
    </row>
    <row r="5" spans="1:6">
      <c r="A5" s="1"/>
      <c r="B5" s="1"/>
      <c r="C5" s="1"/>
      <c r="D5" s="1"/>
      <c r="E5" s="1"/>
      <c r="F5" s="1"/>
    </row>
    <row r="6" spans="1:6">
      <c r="A6" s="1"/>
      <c r="B6" s="1"/>
      <c r="C6" s="1"/>
      <c r="D6" s="1"/>
      <c r="E6" s="1"/>
      <c r="F6" s="1"/>
    </row>
    <row r="7" spans="1:6">
      <c r="A7" s="1"/>
      <c r="B7" s="1"/>
      <c r="C7" s="1"/>
      <c r="D7" s="1"/>
      <c r="E7" s="1"/>
      <c r="F7" s="1"/>
    </row>
    <row r="8" spans="1:6">
      <c r="A8" s="1"/>
      <c r="B8" s="1"/>
      <c r="C8" s="1"/>
      <c r="D8" s="1"/>
      <c r="E8" s="1"/>
      <c r="F8" s="1"/>
    </row>
    <row r="9" spans="1:6">
      <c r="A9" s="1"/>
      <c r="B9" s="1"/>
      <c r="C9" s="1"/>
      <c r="D9" s="1"/>
      <c r="E9" s="1"/>
      <c r="F9" s="1"/>
    </row>
    <row r="10" spans="1:6">
      <c r="A10" s="1"/>
      <c r="B10" s="1"/>
      <c r="C10" s="1"/>
      <c r="D10" s="1"/>
      <c r="E10" s="1"/>
      <c r="F10" s="1"/>
    </row>
    <row r="11" spans="1:6" ht="7.2" customHeight="1">
      <c r="A11" s="1"/>
      <c r="B11" s="1"/>
      <c r="C11" s="1"/>
      <c r="D11" s="1"/>
      <c r="E11" s="1"/>
      <c r="F11" s="1"/>
    </row>
    <row r="12" spans="1:6">
      <c r="A12" s="2" t="s">
        <v>1</v>
      </c>
      <c r="B12" s="2"/>
      <c r="C12" s="2"/>
      <c r="D12" s="2"/>
      <c r="E12" s="2"/>
      <c r="F12" s="2"/>
    </row>
    <row r="13" spans="1:6" ht="15" thickBot="1">
      <c r="A13" s="2"/>
      <c r="B13" s="2"/>
      <c r="C13" s="2"/>
      <c r="D13" s="2"/>
      <c r="E13" s="2"/>
      <c r="F13" s="2"/>
    </row>
    <row r="14" spans="1:6" ht="15" thickBot="1">
      <c r="A14" s="3" t="s">
        <v>2</v>
      </c>
      <c r="B14" s="4" t="s">
        <v>3</v>
      </c>
      <c r="C14" s="4" t="s">
        <v>4</v>
      </c>
      <c r="D14" s="4" t="s">
        <v>5</v>
      </c>
      <c r="E14" s="8" t="s">
        <v>20</v>
      </c>
      <c r="F14" s="8" t="s">
        <v>21</v>
      </c>
    </row>
    <row r="15" spans="1:6" ht="26.4" customHeight="1" thickBot="1">
      <c r="A15" s="5">
        <v>1</v>
      </c>
      <c r="B15" s="6" t="s">
        <v>6</v>
      </c>
      <c r="C15" s="6" t="s">
        <v>7</v>
      </c>
      <c r="D15" s="7">
        <v>1</v>
      </c>
      <c r="E15" s="9">
        <v>180682</v>
      </c>
      <c r="F15" s="10">
        <f>E15*D15</f>
        <v>180682</v>
      </c>
    </row>
    <row r="16" spans="1:6" ht="28.8" thickBot="1">
      <c r="A16" s="5">
        <v>1.1000000000000001</v>
      </c>
      <c r="B16" s="6" t="s">
        <v>8</v>
      </c>
      <c r="C16" s="6" t="s">
        <v>9</v>
      </c>
      <c r="D16" s="7">
        <v>1</v>
      </c>
      <c r="E16" s="11">
        <v>0</v>
      </c>
      <c r="F16" s="10">
        <f t="shared" ref="F16:F22" si="0">E16*D16</f>
        <v>0</v>
      </c>
    </row>
    <row r="17" spans="1:6" ht="37.200000000000003" customHeight="1" thickBot="1">
      <c r="A17" s="5">
        <v>2</v>
      </c>
      <c r="B17" s="6" t="s">
        <v>10</v>
      </c>
      <c r="C17" s="6" t="s">
        <v>11</v>
      </c>
      <c r="D17" s="7">
        <v>1</v>
      </c>
      <c r="E17" s="11">
        <v>195647</v>
      </c>
      <c r="F17" s="10">
        <f t="shared" si="0"/>
        <v>195647</v>
      </c>
    </row>
    <row r="18" spans="1:6" ht="47.4" customHeight="1" thickBot="1">
      <c r="A18" s="5">
        <v>3</v>
      </c>
      <c r="B18" s="6" t="s">
        <v>12</v>
      </c>
      <c r="C18" s="6" t="s">
        <v>13</v>
      </c>
      <c r="D18" s="7">
        <v>1</v>
      </c>
      <c r="E18" s="11">
        <v>633395</v>
      </c>
      <c r="F18" s="10">
        <f t="shared" si="0"/>
        <v>633395</v>
      </c>
    </row>
    <row r="19" spans="1:6" ht="36" customHeight="1" thickBot="1">
      <c r="A19" s="5">
        <v>3.1</v>
      </c>
      <c r="B19" s="6" t="s">
        <v>8</v>
      </c>
      <c r="C19" s="6" t="s">
        <v>9</v>
      </c>
      <c r="D19" s="7">
        <v>1</v>
      </c>
      <c r="E19" s="11">
        <v>0</v>
      </c>
      <c r="F19" s="10">
        <f t="shared" si="0"/>
        <v>0</v>
      </c>
    </row>
    <row r="20" spans="1:6" ht="37.799999999999997" customHeight="1" thickBot="1">
      <c r="A20" s="5">
        <v>4</v>
      </c>
      <c r="B20" s="6" t="s">
        <v>14</v>
      </c>
      <c r="C20" s="6" t="s">
        <v>15</v>
      </c>
      <c r="D20" s="7">
        <v>1</v>
      </c>
      <c r="E20" s="11">
        <v>24000</v>
      </c>
      <c r="F20" s="10">
        <f t="shared" si="0"/>
        <v>24000</v>
      </c>
    </row>
    <row r="21" spans="1:6" ht="37.799999999999997" customHeight="1" thickBot="1">
      <c r="A21" s="5">
        <v>5</v>
      </c>
      <c r="B21" s="6" t="s">
        <v>16</v>
      </c>
      <c r="C21" s="6" t="s">
        <v>17</v>
      </c>
      <c r="D21" s="7">
        <v>5</v>
      </c>
      <c r="E21" s="11">
        <v>78452.731220000001</v>
      </c>
      <c r="F21" s="10">
        <f t="shared" si="0"/>
        <v>392263.65610000002</v>
      </c>
    </row>
    <row r="22" spans="1:6" ht="30.6" customHeight="1" thickBot="1">
      <c r="A22" s="15">
        <v>6</v>
      </c>
      <c r="B22" s="16" t="s">
        <v>18</v>
      </c>
      <c r="C22" s="16" t="s">
        <v>19</v>
      </c>
      <c r="D22" s="17">
        <v>5</v>
      </c>
      <c r="E22" s="18">
        <v>15000</v>
      </c>
      <c r="F22" s="19">
        <f t="shared" si="0"/>
        <v>75000</v>
      </c>
    </row>
    <row r="23" spans="1:6" ht="15" thickBot="1">
      <c r="A23" s="22"/>
      <c r="B23" s="23"/>
      <c r="C23" s="23"/>
      <c r="D23" s="22"/>
      <c r="E23" s="24"/>
      <c r="F23" s="25"/>
    </row>
    <row r="24" spans="1:6" ht="15" thickBot="1">
      <c r="A24" s="20"/>
      <c r="B24" s="21" t="s">
        <v>22</v>
      </c>
      <c r="C24" s="21"/>
      <c r="D24" s="21"/>
      <c r="E24" s="21"/>
      <c r="F24" s="27">
        <f>SUM(F15:F23)</f>
        <v>1500987.6561</v>
      </c>
    </row>
    <row r="25" spans="1:6" ht="15" customHeight="1" thickBot="1">
      <c r="A25" s="12" t="s">
        <v>23</v>
      </c>
      <c r="B25" s="13"/>
      <c r="C25" s="13"/>
      <c r="D25" s="13"/>
      <c r="E25" s="14"/>
      <c r="F25" s="26">
        <f>F24*18%+F24</f>
        <v>1771165.434198</v>
      </c>
    </row>
    <row r="27" spans="1:6">
      <c r="C27" s="28" t="s">
        <v>24</v>
      </c>
    </row>
    <row r="28" spans="1:6">
      <c r="C28" s="30" t="s">
        <v>27</v>
      </c>
    </row>
    <row r="29" spans="1:6" ht="69">
      <c r="C29" s="29" t="s">
        <v>25</v>
      </c>
    </row>
    <row r="30" spans="1:6" ht="43.2">
      <c r="C30" s="31" t="s">
        <v>28</v>
      </c>
    </row>
    <row r="31" spans="1:6" ht="27.6">
      <c r="C31" s="29" t="s">
        <v>29</v>
      </c>
    </row>
    <row r="32" spans="1:6">
      <c r="C32" s="29" t="s">
        <v>26</v>
      </c>
    </row>
  </sheetData>
  <mergeCells count="5">
    <mergeCell ref="A1:F11"/>
    <mergeCell ref="A12:F12"/>
    <mergeCell ref="A13:F13"/>
    <mergeCell ref="B24:E24"/>
    <mergeCell ref="A25:E2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Achal Bharne</dc:creator>
  <cp:lastModifiedBy>Achal Bharne</cp:lastModifiedBy>
  <dcterms:created xsi:type="dcterms:W3CDTF">2026-09-09T09:21:44Z</dcterms:created>
  <dcterms:modified xsi:type="dcterms:W3CDTF">2026-09-09T09:37:16Z</dcterms:modified>
</cp:coreProperties>
</file>