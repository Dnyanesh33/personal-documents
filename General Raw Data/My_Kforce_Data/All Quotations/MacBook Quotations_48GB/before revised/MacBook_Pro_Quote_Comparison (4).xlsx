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nyaneshwarKarande\Downloads\"/>
    </mc:Choice>
  </mc:AlternateContent>
  <xr:revisionPtr revIDLastSave="0" documentId="13_ncr:1_{C5B4BCF4-451B-4238-9EBB-52297F14834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inal Comparison" sheetId="2" r:id="rId1"/>
    <sheet name="Quote Details" sheetId="1" r:id="rId2"/>
  </sheets>
  <definedNames>
    <definedName name="_xlnm._FilterDatabase" localSheetId="1" hidden="1">'Quote Details'!$A$3:$N$7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H5" i="1" s="1"/>
  <c r="G6" i="1"/>
  <c r="H6" i="1" s="1"/>
  <c r="G7" i="1"/>
  <c r="H7" i="1" s="1"/>
  <c r="G4" i="1"/>
  <c r="H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Copilot</author>
  </authors>
  <commentList>
    <comment ref="H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Source: turn1search31 lines 115-131</t>
        </r>
      </text>
    </comment>
    <comment ref="H5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Source: turn1search2 PDF content from Turbonet attachment</t>
        </r>
      </text>
    </comment>
  </commentList>
</comments>
</file>

<file path=xl/sharedStrings.xml><?xml version="1.0" encoding="utf-8"?>
<sst xmlns="http://schemas.openxmlformats.org/spreadsheetml/2006/main" count="77" uniqueCount="61">
  <si>
    <t>MacBook Pro 16-inch — Final Vendor Comparison</t>
  </si>
  <si>
    <t>1 unit comparison | M5 Pro, 48GB Unified Memory, 1TB SSD | Amounts include GST</t>
  </si>
  <si>
    <t>Bottom line: Turbonet Systems Pvt. Ltd. is the lowest quoted option at ₹392,799.58 incl. GST. RH Communication is the next option at ₹200.42 more. Confirm warranty, delivery, payment and validity before releasing the PO.</t>
  </si>
  <si>
    <t>PRICE RANKING &amp; COMMERCIAL TERMS</t>
  </si>
  <si>
    <t>Rank</t>
  </si>
  <si>
    <t>Vendor</t>
  </si>
  <si>
    <t>Grand Total Incl. GST</t>
  </si>
  <si>
    <t>Difference vs Lowest</t>
  </si>
  <si>
    <t>Commercial Terms</t>
  </si>
  <si>
    <t>Assessment / Caveat</t>
  </si>
  <si>
    <t>Turbonet Systems Pvt. Ltd.</t>
  </si>
  <si>
    <t>Hardware warranty as mentioned in quotation | Delivery: Within 5 to 7 days from receipt of PO and payment | Payment: 100% advance against Purchase Order | Validity: Valid until 12-Aug-2026; quotation validity 7 days</t>
  </si>
  <si>
    <t>Rev-1 total reduced by ₹38,667.42; freight at actual outside Mumbai where applicable</t>
  </si>
  <si>
    <t>RH Communication</t>
  </si>
  <si>
    <t>OEM warranty; no onsite service/repair, physical damage excluded | Delivery: 8 working days from PO and payment | Payment: 100% advance with firm PO | Validity: Valid for 1 day from 31-Jul-2026</t>
  </si>
  <si>
    <t>Revised total reduced by ₹8,702.00; transport charges extra; after-sales service chargeable</t>
  </si>
  <si>
    <t>GNR Solutions</t>
  </si>
  <si>
    <t>Not clearly visible in email content | Delivery: Not clearly visible in email content | Payment: Not clearly visible in email content | Validity: Not clearly visible in email content</t>
  </si>
  <si>
    <t>Lowest price; warranty, delivery, payment and validity require written confirmation</t>
  </si>
  <si>
    <t>IT World India Tech Pvt. Ltd.</t>
  </si>
  <si>
    <t>As mentioned in quotation | Delivery: 3 to 5 days from receipt of payment and PO | Payment: 100% advance with PO | Validity: Valid until 31-Jul-2026</t>
  </si>
  <si>
    <t>PDF quoted Qty 10 at ₹41,03,001.60 incl. GST; comparison normalized to 1 unit</t>
  </si>
  <si>
    <t>RECOMMENDATION</t>
  </si>
  <si>
    <t>Proceed commercially with Turbonet Systems Pvt. Ltd. only after written confirmation of warranty, delivery, payment terms and quote validity. If those terms are not acceptable, RH Communication is the next-lowest option at ₹200.42 more. IT World is compared on a normalized 1-unit basis because its PDF quantity is 10.</t>
  </si>
  <si>
    <t>MacBook Pro 16-inch Quote Details - 1 Qty Normalized</t>
  </si>
  <si>
    <t>Requirement: MacBook Pro 16-inch, M5 Pro chip, 48GB Unified Memory, 1TB SSD, Standard Display, 140W USB-C Power Adapter, Indian English Backlit Magic Keyboard with Touch ID</t>
  </si>
  <si>
    <t>Quote Date</t>
  </si>
  <si>
    <t>Quote Ref / Source</t>
  </si>
  <si>
    <t>Product / Part No.</t>
  </si>
  <si>
    <t>Qty</t>
  </si>
  <si>
    <t>Unit Price Excl. GST</t>
  </si>
  <si>
    <t>GST Amount</t>
  </si>
  <si>
    <t>Warranty Details</t>
  </si>
  <si>
    <t>Delivery Timeline</t>
  </si>
  <si>
    <t>Payment Terms</t>
  </si>
  <si>
    <t>Validity / Price Hold</t>
  </si>
  <si>
    <t>Status</t>
  </si>
  <si>
    <t>Notes</t>
  </si>
  <si>
    <t>29-Jul-2026</t>
  </si>
  <si>
    <t>Email quotation from Roshan GNR; formal PDF referenced</t>
  </si>
  <si>
    <t>Apple MGEC4HN/A 16-inch MacBook Pro, M5 Pro 18-core CPU/20-core GPU, 48GB, 1TB SSD, Space Black</t>
  </si>
  <si>
    <t>Not clearly visible in email content</t>
  </si>
  <si>
    <t>Comparable</t>
  </si>
  <si>
    <t>Turbonet_Commercial_Knowledgeforce IT Services India_Apple Laptop_TSPL-9211_Rev-1_050826.pdf</t>
  </si>
  <si>
    <t>Hardware warranty as mentioned in quotation</t>
  </si>
  <si>
    <t>Within 5 to 7 days from receipt of PO and payment</t>
  </si>
  <si>
    <t>100% advance against Purchase Order</t>
  </si>
  <si>
    <t>Valid until 12-Aug-2026; quotation validity 7 days</t>
  </si>
  <si>
    <t>Comparable - revised quote</t>
  </si>
  <si>
    <t>RH Comm_Estimate_RHEST1441_31_07_26.pdf</t>
  </si>
  <si>
    <t>Apple MGEC4HN/A 16-inch MacBook Pro, M5 Pro 18-core CPU/20-core GPU, 48GB, 1TB SSD, 16.2-inch, 140W, Space Black</t>
  </si>
  <si>
    <t>OEM warranty; no onsite service/repair, physical damage excluded</t>
  </si>
  <si>
    <t>8 working days from PO and payment</t>
  </si>
  <si>
    <t>100% advance with firm PO</t>
  </si>
  <si>
    <t>Valid for 1 day from 31-Jul-2026</t>
  </si>
  <si>
    <t>IT_World_KforceIncMacbookpro5- 29-07-2026.pdf</t>
  </si>
  <si>
    <t>As mentioned in quotation</t>
  </si>
  <si>
    <t>3 to 5 days from receipt of payment and PO</t>
  </si>
  <si>
    <t>100% advance with PO</t>
  </si>
  <si>
    <t>Valid until 31-Jul-2026</t>
  </si>
  <si>
    <t>Comparable - normalized to 1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</si>
</sst>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11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rgb="FFFFFFFF"/>
      <name val="Calibri"/>
      <family val="2"/>
      <scheme val="minor"/>
    </font>
    <font>
      <b/>
      <sz val="18"/>
      <color rgb="FFFFFFFF"/>
      <name val="Calibri"/>
    </font>
    <font>
      <b/>
      <sz val="18"/>
      <color rgb="FFFFFFFF"/>
      <name val="Calibri"/>
      <family val="2"/>
      <scheme val="minor"/>
    </font>
    <font>
      <i/>
      <sz val="11"/>
      <color rgb="FF555555"/>
      <name val="Calibri"/>
    </font>
    <font>
      <i/>
      <sz val="11"/>
      <color rgb="FF555555"/>
      <name val="Calibri"/>
      <family val="2"/>
      <scheme val="minor"/>
    </font>
    <font>
      <sz val="11"/>
      <color rgb="FF1F1F1F"/>
      <name val="Calibri"/>
      <family val="2"/>
      <scheme val="minor"/>
    </font>
    <font>
      <i/>
      <sz val="10"/>
      <color rgb="FF1F1F1F"/>
      <name val="Calibri"/>
      <family val="2"/>
      <scheme val="minor"/>
    </font>
    <font>
      <b/>
      <sz val="11"/>
      <color rgb="FF1F1F1F"/>
      <name val="Calibri"/>
      <family val="2"/>
      <scheme val="minor"/>
    </font>
    <font>
      <sz val="11"/>
      <color rgb="FF7F1D1D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3F6F9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CE4E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1" fontId="0" fillId="4" borderId="1" xfId="0" applyNumberFormat="1" applyFill="1" applyBorder="1" applyAlignment="1">
      <alignment vertical="center" wrapText="1"/>
    </xf>
    <xf numFmtId="164" fontId="0" fillId="4" borderId="1" xfId="0" applyNumberForma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15" fontId="0" fillId="3" borderId="1" xfId="0" applyNumberFormat="1" applyFill="1" applyBorder="1" applyAlignment="1">
      <alignment vertical="center" wrapText="1"/>
    </xf>
    <xf numFmtId="1" fontId="0" fillId="3" borderId="1" xfId="0" applyNumberFormat="1" applyFill="1" applyBorder="1" applyAlignment="1">
      <alignment vertical="center" wrapText="1"/>
    </xf>
    <xf numFmtId="164" fontId="0" fillId="3" borderId="1" xfId="0" applyNumberFormat="1" applyFill="1" applyBorder="1" applyAlignment="1">
      <alignment vertical="center" wrapText="1"/>
    </xf>
    <xf numFmtId="0" fontId="0" fillId="3" borderId="0" xfId="0" applyFill="1" applyAlignment="1">
      <alignment vertical="center" wrapText="1"/>
    </xf>
    <xf numFmtId="15" fontId="0" fillId="3" borderId="0" xfId="0" applyNumberFormat="1" applyFill="1" applyAlignment="1">
      <alignment vertical="center" wrapText="1"/>
    </xf>
    <xf numFmtId="1" fontId="0" fillId="3" borderId="0" xfId="0" applyNumberFormat="1" applyFill="1" applyAlignment="1">
      <alignment vertical="center" wrapText="1"/>
    </xf>
    <xf numFmtId="164" fontId="0" fillId="3" borderId="0" xfId="0" applyNumberFormat="1" applyFill="1" applyAlignment="1">
      <alignment vertical="center" wrapText="1"/>
    </xf>
    <xf numFmtId="15" fontId="0" fillId="0" borderId="1" xfId="0" applyNumberFormat="1" applyBorder="1" applyAlignment="1">
      <alignment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vertical="center" wrapText="1"/>
    </xf>
    <xf numFmtId="164" fontId="7" fillId="8" borderId="2" xfId="0" applyNumberFormat="1" applyFont="1" applyFill="1" applyBorder="1" applyAlignment="1">
      <alignment horizontal="right" vertical="center" wrapText="1"/>
    </xf>
    <xf numFmtId="0" fontId="0" fillId="13" borderId="2" xfId="0" applyFill="1" applyBorder="1" applyAlignment="1">
      <alignment horizontal="center" vertical="center" wrapText="1"/>
    </xf>
    <xf numFmtId="0" fontId="7" fillId="13" borderId="2" xfId="0" applyFont="1" applyFill="1" applyBorder="1" applyAlignment="1">
      <alignment vertical="center" wrapText="1"/>
    </xf>
    <xf numFmtId="0" fontId="0" fillId="14" borderId="2" xfId="0" applyFill="1" applyBorder="1" applyAlignment="1">
      <alignment horizontal="center" vertical="center" wrapText="1"/>
    </xf>
    <xf numFmtId="0" fontId="7" fillId="14" borderId="2" xfId="0" applyFont="1" applyFill="1" applyBorder="1" applyAlignment="1">
      <alignment vertical="center" wrapText="1"/>
    </xf>
    <xf numFmtId="0" fontId="0" fillId="0" borderId="2" xfId="0" applyBorder="1" applyAlignment="1">
      <alignment wrapText="1"/>
    </xf>
    <xf numFmtId="0" fontId="9" fillId="12" borderId="2" xfId="0" applyFont="1" applyFill="1" applyBorder="1" applyAlignment="1">
      <alignment horizontal="center" wrapText="1"/>
    </xf>
    <xf numFmtId="0" fontId="10" fillId="15" borderId="2" xfId="0" applyFont="1" applyFill="1" applyBorder="1" applyAlignment="1">
      <alignment wrapText="1"/>
    </xf>
    <xf numFmtId="0" fontId="4" fillId="9" borderId="2" xfId="0" applyFont="1" applyFill="1" applyBorder="1" applyAlignment="1">
      <alignment wrapText="1"/>
    </xf>
    <xf numFmtId="0" fontId="8" fillId="6" borderId="2" xfId="0" applyFont="1" applyFill="1" applyBorder="1" applyAlignment="1">
      <alignment wrapText="1"/>
    </xf>
    <xf numFmtId="0" fontId="7" fillId="10" borderId="2" xfId="0" applyFont="1" applyFill="1" applyBorder="1" applyAlignment="1">
      <alignment wrapText="1"/>
    </xf>
    <xf numFmtId="0" fontId="2" fillId="11" borderId="2" xfId="0" applyFont="1" applyFill="1" applyBorder="1" applyAlignment="1">
      <alignment wrapText="1"/>
    </xf>
    <xf numFmtId="0" fontId="2" fillId="9" borderId="2" xfId="0" applyFont="1" applyFill="1" applyBorder="1" applyAlignment="1">
      <alignment wrapText="1"/>
    </xf>
    <xf numFmtId="0" fontId="5" fillId="6" borderId="0" xfId="0" applyFont="1" applyFill="1" applyAlignment="1">
      <alignment wrapText="1"/>
    </xf>
    <xf numFmtId="0" fontId="6" fillId="6" borderId="0" xfId="0" applyFont="1" applyFill="1" applyAlignment="1">
      <alignment wrapText="1"/>
    </xf>
    <xf numFmtId="0" fontId="3" fillId="5" borderId="0" xfId="0" applyFont="1" applyFill="1" applyAlignment="1">
      <alignment horizontal="center"/>
    </xf>
    <xf numFmtId="0" fontId="4" fillId="5" borderId="0" xfId="0" applyFont="1" applyFill="1"/>
  </cellXfs>
  <cellStyles count="1">
    <cellStyle name="Normal" xfId="0" builtinId="0"/>
  </cellStyles>
  <dxfs count="18"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numFmt numFmtId="164" formatCode="\₹#,##0.00"/>
      <alignment vertical="center" wrapText="1"/>
    </dxf>
    <dxf>
      <numFmt numFmtId="164" formatCode="\₹#,##0.00"/>
      <alignment vertical="center" wrapText="1"/>
    </dxf>
    <dxf>
      <numFmt numFmtId="164" formatCode="\₹#,##0.00"/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border>
        <bottom style="thin">
          <color rgb="FFD9D9D9"/>
        </bottom>
      </border>
    </dxf>
    <dxf>
      <alignment vertical="center" wrapText="1"/>
    </dxf>
    <dxf>
      <border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rgb="FFD9EAF7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Grand Total by Vendor (Incl. GST)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'Final Comparison'!$C$6</c:f>
              <c:strCache>
                <c:ptCount val="1"/>
                <c:pt idx="0">
                  <c:v>Grand Total Incl. GST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'Final Comparison'!$B$7:$B$10</c:f>
              <c:strCache>
                <c:ptCount val="4"/>
                <c:pt idx="0">
                  <c:v>Turbonet Systems Pvt. Ltd.</c:v>
                </c:pt>
                <c:pt idx="1">
                  <c:v>RH Communication</c:v>
                </c:pt>
                <c:pt idx="2">
                  <c:v>GNR Solutions</c:v>
                </c:pt>
                <c:pt idx="3">
                  <c:v>IT World India Tech Pvt. Ltd.</c:v>
                </c:pt>
              </c:strCache>
            </c:strRef>
          </c:cat>
          <c:val>
            <c:numRef>
              <c:f>'Final Comparison'!$C$7:$C$10</c:f>
              <c:numCache>
                <c:formatCode>\₹#,##0.00</c:formatCode>
                <c:ptCount val="4"/>
                <c:pt idx="0">
                  <c:v>392799.58</c:v>
                </c:pt>
                <c:pt idx="1">
                  <c:v>393000</c:v>
                </c:pt>
                <c:pt idx="2">
                  <c:v>393029.68</c:v>
                </c:pt>
                <c:pt idx="3">
                  <c:v>410300.15999999997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18-4F92-B79E-51090DF59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16061192"/>
        <c:axId val="1316063240"/>
      </c:barChart>
      <c:catAx>
        <c:axId val="13160611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Vendor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063240"/>
        <c:crosses val="autoZero"/>
        <c:auto val="1"/>
        <c:lblAlgn val="ctr"/>
        <c:lblOffset val="100"/>
        <c:noMultiLvlLbl val="0"/>
      </c:catAx>
      <c:valAx>
        <c:axId val="1316063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 (₹)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061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6</xdr:col>
      <xdr:colOff>0</xdr:colOff>
      <xdr:row>29</xdr:row>
      <xdr:rowOff>0</xdr:rowOff>
    </xdr:to>
    <xdr:graphicFrame macro="">
      <xdr:nvGraphicFramePr>
        <xdr:cNvPr id="2" name="Vendor Total Comparison">
          <a:extLst>
            <a:ext uri="{FF2B5EF4-FFF2-40B4-BE49-F238E27FC236}">
              <a16:creationId xmlns:a16="http://schemas.microsoft.com/office/drawing/2014/main" id="{C1B513FB-6149-2F0E-0147-B0B4F3D66F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793427-B47B-4208-A4C1-3A62ED52F0F6}" name="QuoteDetailsTable" displayName="QuoteDetailsTable" ref="A3:N7" totalsRowShown="0" headerRowDxfId="17" dataDxfId="15" headerRowBorderDxfId="16" tableBorderDxfId="14">
  <autoFilter ref="A3:N7" xr:uid="{00000000-0009-0000-0000-000000000000}"/>
  <tableColumns count="14">
    <tableColumn id="1" xr3:uid="{5BE3B4A6-0D76-4ED0-AFBF-70D8F8224F13}" name="Vendor" dataDxfId="13"/>
    <tableColumn id="2" xr3:uid="{41BB1A82-A00E-4D3D-AC6D-5DE81B0202FB}" name="Quote Date" dataDxfId="12"/>
    <tableColumn id="3" xr3:uid="{70966068-0BC5-495D-B2BB-AF9DC5C45F98}" name="Quote Ref / Source" dataDxfId="11"/>
    <tableColumn id="4" xr3:uid="{F7261508-6111-428C-9209-9FECC1FCE271}" name="Product / Part No." dataDxfId="10"/>
    <tableColumn id="5" xr3:uid="{5CAE0127-018A-4EA8-A6D1-E7622F687188}" name="Qty" dataDxfId="9"/>
    <tableColumn id="6" xr3:uid="{24DD8A65-142D-4B41-8C92-5D9027923A1D}" name="Unit Price Excl. GST" dataDxfId="8"/>
    <tableColumn id="7" xr3:uid="{B65DD0EE-3786-4C19-A437-62A8469FAB46}" name="GST Amount" dataDxfId="7">
      <calculatedColumnFormula>F4*18%</calculatedColumnFormula>
    </tableColumn>
    <tableColumn id="8" xr3:uid="{DE42B790-DD2F-41D3-8A25-6868916CB612}" name="Grand Total Incl. GST" dataDxfId="6">
      <calculatedColumnFormula>IF(A4="RH Communication",ROUND(F4+G4,0),F4+G4)</calculatedColumnFormula>
    </tableColumn>
    <tableColumn id="9" xr3:uid="{92F06A2E-32EE-4110-B419-E6FFD0B5AC26}" name="Warranty Details" dataDxfId="5"/>
    <tableColumn id="10" xr3:uid="{1DCC0444-5AA8-4B96-8B36-8A3E16EE0FAD}" name="Delivery Timeline" dataDxfId="4"/>
    <tableColumn id="11" xr3:uid="{6F1AC204-8FDB-42C8-B54C-DB333BAA68E0}" name="Payment Terms" dataDxfId="3"/>
    <tableColumn id="12" xr3:uid="{AC95CD22-3734-40B0-9580-4333EDACE932}" name="Validity / Price Hold" dataDxfId="2"/>
    <tableColumn id="13" xr3:uid="{6239F7F9-2147-4FB6-8B4B-0DF1D464D211}" name="Status" dataDxfId="1"/>
    <tableColumn id="14" xr3:uid="{5D3CD9CD-5E68-4FEB-9509-CC8D859F192C}" name="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1F9AB-4F18-42E5-B005-39FC8EBA8C99}">
  <dimension ref="A1:F13"/>
  <sheetViews>
    <sheetView tabSelected="1" workbookViewId="0">
      <selection activeCell="C8" sqref="C8"/>
    </sheetView>
  </sheetViews>
  <sheetFormatPr defaultRowHeight="14.5" x14ac:dyDescent="0.35"/>
  <cols>
    <col min="1" max="1" width="5.1796875" bestFit="1" customWidth="1"/>
    <col min="2" max="2" width="20.1796875" customWidth="1"/>
    <col min="3" max="3" width="18.453125" bestFit="1" customWidth="1"/>
    <col min="4" max="4" width="11.54296875" customWidth="1"/>
    <col min="5" max="5" width="33.453125" customWidth="1"/>
    <col min="6" max="6" width="30.81640625" customWidth="1"/>
  </cols>
  <sheetData>
    <row r="1" spans="1:6" ht="23.5" x14ac:dyDescent="0.55000000000000004">
      <c r="A1" s="27" t="s">
        <v>0</v>
      </c>
      <c r="B1" s="27"/>
      <c r="C1" s="27"/>
      <c r="D1" s="27"/>
      <c r="E1" s="27"/>
      <c r="F1" s="27"/>
    </row>
    <row r="2" spans="1:6" x14ac:dyDescent="0.35">
      <c r="A2" s="28" t="s">
        <v>1</v>
      </c>
      <c r="B2" s="28"/>
      <c r="C2" s="28"/>
      <c r="D2" s="28"/>
      <c r="E2" s="28"/>
      <c r="F2" s="28"/>
    </row>
    <row r="3" spans="1:6" x14ac:dyDescent="0.35">
      <c r="A3" s="29" t="s">
        <v>2</v>
      </c>
      <c r="B3" s="29"/>
      <c r="C3" s="29"/>
      <c r="D3" s="29"/>
      <c r="E3" s="29"/>
      <c r="F3" s="29"/>
    </row>
    <row r="4" spans="1:6" x14ac:dyDescent="0.35">
      <c r="A4" s="24"/>
      <c r="B4" s="24"/>
      <c r="C4" s="24"/>
      <c r="D4" s="24"/>
      <c r="E4" s="24"/>
      <c r="F4" s="24"/>
    </row>
    <row r="5" spans="1:6" x14ac:dyDescent="0.35">
      <c r="A5" s="30" t="s">
        <v>3</v>
      </c>
      <c r="B5" s="30"/>
      <c r="C5" s="30"/>
      <c r="D5" s="30"/>
      <c r="E5" s="30"/>
      <c r="F5" s="30"/>
    </row>
    <row r="6" spans="1:6" x14ac:dyDescent="0.35">
      <c r="A6" s="25" t="s">
        <v>4</v>
      </c>
      <c r="B6" s="25" t="s">
        <v>5</v>
      </c>
      <c r="C6" s="25" t="s">
        <v>6</v>
      </c>
      <c r="D6" s="25" t="s">
        <v>7</v>
      </c>
      <c r="E6" s="25" t="s">
        <v>8</v>
      </c>
      <c r="F6" s="25" t="s">
        <v>9</v>
      </c>
    </row>
    <row r="7" spans="1:6" ht="87" x14ac:dyDescent="0.35">
      <c r="A7" s="17">
        <v>1</v>
      </c>
      <c r="B7" s="18" t="s">
        <v>10</v>
      </c>
      <c r="C7" s="19">
        <v>392799.58</v>
      </c>
      <c r="D7" s="19">
        <v>0</v>
      </c>
      <c r="E7" s="18" t="s">
        <v>11</v>
      </c>
      <c r="F7" s="18" t="s">
        <v>12</v>
      </c>
    </row>
    <row r="8" spans="1:6" ht="72.5" x14ac:dyDescent="0.35">
      <c r="A8" s="20">
        <v>2</v>
      </c>
      <c r="B8" s="21" t="s">
        <v>13</v>
      </c>
      <c r="C8" s="19">
        <v>393000</v>
      </c>
      <c r="D8" s="19">
        <v>200.41999999998399</v>
      </c>
      <c r="E8" s="21" t="s">
        <v>14</v>
      </c>
      <c r="F8" s="21" t="s">
        <v>15</v>
      </c>
    </row>
    <row r="9" spans="1:6" ht="72.5" x14ac:dyDescent="0.35">
      <c r="A9" s="22">
        <v>3</v>
      </c>
      <c r="B9" s="23" t="s">
        <v>16</v>
      </c>
      <c r="C9" s="19">
        <v>393029.68</v>
      </c>
      <c r="D9" s="19">
        <v>230.099999999977</v>
      </c>
      <c r="E9" s="23" t="s">
        <v>17</v>
      </c>
      <c r="F9" s="23" t="s">
        <v>18</v>
      </c>
    </row>
    <row r="10" spans="1:6" ht="58" x14ac:dyDescent="0.35">
      <c r="A10" s="20">
        <v>4</v>
      </c>
      <c r="B10" s="21" t="s">
        <v>19</v>
      </c>
      <c r="C10" s="19">
        <v>410300.15999999997</v>
      </c>
      <c r="D10" s="19">
        <v>17500.580000000002</v>
      </c>
      <c r="E10" s="21" t="s">
        <v>20</v>
      </c>
      <c r="F10" s="21" t="s">
        <v>21</v>
      </c>
    </row>
    <row r="11" spans="1:6" x14ac:dyDescent="0.35">
      <c r="A11" s="24"/>
      <c r="B11" s="24"/>
      <c r="C11" s="24"/>
      <c r="D11" s="24"/>
      <c r="E11" s="24"/>
      <c r="F11" s="24"/>
    </row>
    <row r="12" spans="1:6" x14ac:dyDescent="0.35">
      <c r="A12" s="31" t="s">
        <v>22</v>
      </c>
      <c r="B12" s="31"/>
      <c r="C12" s="31"/>
      <c r="D12" s="31"/>
      <c r="E12" s="31"/>
      <c r="F12" s="31"/>
    </row>
    <row r="13" spans="1:6" x14ac:dyDescent="0.35">
      <c r="A13" s="26" t="s">
        <v>23</v>
      </c>
      <c r="B13" s="26"/>
      <c r="C13" s="26"/>
      <c r="D13" s="26"/>
      <c r="E13" s="26"/>
      <c r="F13" s="26"/>
    </row>
  </sheetData>
  <mergeCells count="6">
    <mergeCell ref="A13:F13"/>
    <mergeCell ref="A1:F1"/>
    <mergeCell ref="A2:F2"/>
    <mergeCell ref="A3:F3"/>
    <mergeCell ref="A5:F5"/>
    <mergeCell ref="A12:F12"/>
  </mergeCells>
  <conditionalFormatting sqref="D7:D10">
    <cfRule type="colorScale" priority="1">
      <colorScale>
        <cfvo type="min"/>
        <cfvo type="percent" val="50"/>
        <cfvo type="max"/>
        <color rgb="FFC6EFCE"/>
        <color rgb="FFFFEB9C"/>
        <color rgb="FFFFC7CE"/>
      </colorScale>
    </cfRule>
  </conditionalFormatting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workbookViewId="0">
      <pane ySplit="3" topLeftCell="A4" activePane="bottomLeft" state="frozen"/>
      <selection pane="bottomLeft" activeCell="G9" sqref="G9"/>
    </sheetView>
  </sheetViews>
  <sheetFormatPr defaultRowHeight="14.5" x14ac:dyDescent="0.35"/>
  <cols>
    <col min="1" max="1" width="19.26953125" customWidth="1"/>
    <col min="2" max="2" width="11.90625" hidden="1" customWidth="1"/>
    <col min="3" max="3" width="34.26953125" hidden="1" customWidth="1"/>
    <col min="4" max="4" width="38.453125" customWidth="1"/>
    <col min="5" max="5" width="1.54296875" customWidth="1"/>
    <col min="6" max="6" width="11.90625" customWidth="1"/>
    <col min="7" max="7" width="12.54296875" customWidth="1"/>
    <col min="8" max="8" width="13.26953125" customWidth="1"/>
    <col min="9" max="9" width="23.1796875" customWidth="1"/>
    <col min="10" max="12" width="29.54296875" customWidth="1"/>
    <col min="13" max="13" width="21" customWidth="1"/>
    <col min="14" max="14" width="38.1796875" customWidth="1"/>
  </cols>
  <sheetData>
    <row r="1" spans="1:14" ht="32.25" customHeight="1" x14ac:dyDescent="0.55000000000000004">
      <c r="A1" s="34" t="s">
        <v>24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ht="32.25" customHeight="1" x14ac:dyDescent="0.35">
      <c r="A2" s="32" t="s">
        <v>25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4" x14ac:dyDescent="0.35">
      <c r="A3" s="1" t="s">
        <v>5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6</v>
      </c>
      <c r="I3" s="1" t="s">
        <v>32</v>
      </c>
      <c r="J3" s="1" t="s">
        <v>33</v>
      </c>
      <c r="K3" s="1" t="s">
        <v>34</v>
      </c>
      <c r="L3" s="1" t="s">
        <v>35</v>
      </c>
      <c r="M3" s="1" t="s">
        <v>36</v>
      </c>
      <c r="N3" s="1" t="s">
        <v>37</v>
      </c>
    </row>
    <row r="4" spans="1:14" ht="43.5" x14ac:dyDescent="0.35">
      <c r="A4" s="2" t="s">
        <v>16</v>
      </c>
      <c r="B4" s="2" t="s">
        <v>38</v>
      </c>
      <c r="C4" s="2" t="s">
        <v>39</v>
      </c>
      <c r="D4" s="2" t="s">
        <v>40</v>
      </c>
      <c r="E4" s="3">
        <v>1</v>
      </c>
      <c r="F4" s="4">
        <v>333076</v>
      </c>
      <c r="G4" s="4">
        <f>F4*18%</f>
        <v>59953.68</v>
      </c>
      <c r="H4" s="4">
        <f t="shared" ref="H4:H7" si="0">IF(A4="RH Communication",ROUND(F4+G4,0),F4+G4)</f>
        <v>393029.68</v>
      </c>
      <c r="I4" s="2" t="s">
        <v>41</v>
      </c>
      <c r="J4" s="2" t="s">
        <v>41</v>
      </c>
      <c r="K4" s="2" t="s">
        <v>41</v>
      </c>
      <c r="L4" s="2" t="s">
        <v>41</v>
      </c>
      <c r="M4" s="2" t="s">
        <v>42</v>
      </c>
      <c r="N4" s="2" t="s">
        <v>18</v>
      </c>
    </row>
    <row r="5" spans="1:14" ht="43.5" x14ac:dyDescent="0.35">
      <c r="A5" s="5" t="s">
        <v>10</v>
      </c>
      <c r="B5" s="16">
        <v>46239</v>
      </c>
      <c r="C5" s="5" t="s">
        <v>43</v>
      </c>
      <c r="D5" s="5" t="s">
        <v>40</v>
      </c>
      <c r="E5" s="6">
        <v>1</v>
      </c>
      <c r="F5" s="7">
        <v>332881</v>
      </c>
      <c r="G5" s="7">
        <f>F5*18%</f>
        <v>59918.579999999994</v>
      </c>
      <c r="H5" s="7">
        <f>IF(A5="RH Communication",ROUND(F5+G5,0),F5+G5)</f>
        <v>392799.58</v>
      </c>
      <c r="I5" s="5" t="s">
        <v>44</v>
      </c>
      <c r="J5" s="5" t="s">
        <v>45</v>
      </c>
      <c r="K5" s="5" t="s">
        <v>46</v>
      </c>
      <c r="L5" s="5" t="s">
        <v>47</v>
      </c>
      <c r="M5" s="5" t="s">
        <v>48</v>
      </c>
      <c r="N5" s="5" t="s">
        <v>12</v>
      </c>
    </row>
    <row r="6" spans="1:14" ht="43.5" x14ac:dyDescent="0.35">
      <c r="A6" s="8" t="s">
        <v>13</v>
      </c>
      <c r="B6" s="9">
        <v>46234</v>
      </c>
      <c r="C6" s="8" t="s">
        <v>49</v>
      </c>
      <c r="D6" s="8" t="s">
        <v>50</v>
      </c>
      <c r="E6" s="10">
        <v>1</v>
      </c>
      <c r="F6" s="11">
        <v>333050.84999999998</v>
      </c>
      <c r="G6" s="11">
        <f>F6*18%</f>
        <v>59949.152999999991</v>
      </c>
      <c r="H6" s="11">
        <f t="shared" si="0"/>
        <v>393000</v>
      </c>
      <c r="I6" s="8" t="s">
        <v>51</v>
      </c>
      <c r="J6" s="8" t="s">
        <v>52</v>
      </c>
      <c r="K6" s="8" t="s">
        <v>53</v>
      </c>
      <c r="L6" s="8" t="s">
        <v>54</v>
      </c>
      <c r="M6" s="8" t="s">
        <v>48</v>
      </c>
      <c r="N6" s="8" t="s">
        <v>15</v>
      </c>
    </row>
    <row r="7" spans="1:14" ht="43.5" x14ac:dyDescent="0.35">
      <c r="A7" s="12" t="s">
        <v>19</v>
      </c>
      <c r="B7" s="13">
        <v>46232</v>
      </c>
      <c r="C7" s="12" t="s">
        <v>55</v>
      </c>
      <c r="D7" s="12" t="s">
        <v>40</v>
      </c>
      <c r="E7" s="14">
        <v>1</v>
      </c>
      <c r="F7" s="15">
        <v>347712</v>
      </c>
      <c r="G7" s="15">
        <f t="shared" ref="G7" si="1">F7*18%</f>
        <v>62588.159999999996</v>
      </c>
      <c r="H7" s="15">
        <f t="shared" si="0"/>
        <v>410300.15999999997</v>
      </c>
      <c r="I7" s="12" t="s">
        <v>56</v>
      </c>
      <c r="J7" s="12" t="s">
        <v>57</v>
      </c>
      <c r="K7" s="12" t="s">
        <v>58</v>
      </c>
      <c r="L7" s="12" t="s">
        <v>59</v>
      </c>
      <c r="M7" s="12" t="s">
        <v>60</v>
      </c>
      <c r="N7" s="12" t="s">
        <v>21</v>
      </c>
    </row>
    <row r="8" spans="1:14" ht="30" customHeight="1" x14ac:dyDescent="0.35"/>
    <row r="9" spans="1:14" ht="30" customHeight="1" x14ac:dyDescent="0.35"/>
    <row r="10" spans="1:14" ht="30" customHeight="1" x14ac:dyDescent="0.35"/>
    <row r="11" spans="1:14" ht="30" customHeight="1" x14ac:dyDescent="0.35"/>
    <row r="12" spans="1:14" ht="30" customHeight="1" x14ac:dyDescent="0.35"/>
    <row r="13" spans="1:14" ht="30" customHeight="1" x14ac:dyDescent="0.35"/>
  </sheetData>
  <mergeCells count="2">
    <mergeCell ref="A2:N2"/>
    <mergeCell ref="A1:N1"/>
  </mergeCells>
  <pageMargins left="0.75" right="0.75" top="1" bottom="1" header="0.5" footer="0.5"/>
  <pageSetup orientation="landscape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Comparison</vt:lpstr>
      <vt:lpstr>Quote 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Dnyaneshwar Karande</dc:creator>
  <cp:keywords/>
  <dc:description/>
  <cp:lastModifiedBy>Dnyaneshwar Karande</cp:lastModifiedBy>
  <cp:revision/>
  <cp:lastPrinted>2026-08-06T07:17:59Z</cp:lastPrinted>
  <dcterms:created xsi:type="dcterms:W3CDTF">2026-08-05T09:56:30Z</dcterms:created>
  <dcterms:modified xsi:type="dcterms:W3CDTF">2026-08-07T09:15:26Z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2026-08-05T09:56:31Z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dd72a2d2-8ec1-4f74-9b3a-e66f079e7fd4</vt:lpwstr>
  </property>
  <property fmtid="{D5CDD505-2E9C-101B-9397-08002B2CF9AE}" pid="7" name="MSIP_Label_defa4170-0d19-0005-0004-bc88714345d2_ActionId">
    <vt:lpwstr>e27da968-e9dc-4363-ac67-da61b32762a1</vt:lpwstr>
  </property>
  <property fmtid="{D5CDD505-2E9C-101B-9397-08002B2CF9AE}" pid="8" name="MSIP_Label_defa4170-0d19-0005-0004-bc88714345d2_ContentBits">
    <vt:lpwstr>0</vt:lpwstr>
  </property>
</Properties>
</file>