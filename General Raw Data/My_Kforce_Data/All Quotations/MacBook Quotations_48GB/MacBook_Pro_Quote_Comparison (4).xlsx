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kforceinternational-my.sharepoint.com/personal/dnyaneshwar_karande_kforce_co_in/Documents/Documents/All Quotations/MacBook Quotations_48GB/"/>
    </mc:Choice>
  </mc:AlternateContent>
  <xr:revisionPtr revIDLastSave="0" documentId="8_{65C727B5-B52D-41C7-AAA3-185397FF888B}" xr6:coauthVersionLast="47" xr6:coauthVersionMax="47" xr10:uidLastSave="{00000000-0000-0000-0000-000000000000}"/>
  <bookViews>
    <workbookView xWindow="-110" yWindow="-110" windowWidth="19420" windowHeight="11500" xr2:uid="{00000000-000D-0000-FFFF-FFFF00000000}"/>
  </bookViews>
  <sheets>
    <sheet name="Final Comparison" sheetId="2" r:id="rId1"/>
    <sheet name="Quote Details" sheetId="1" r:id="rId2"/>
  </sheets>
  <definedNames>
    <definedName name="_xlnm._FilterDatabase" localSheetId="1" hidden="1">'Quote Details'!$A$3:$N$8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H5" i="1" s="1"/>
  <c r="G6" i="1"/>
  <c r="H6" i="1" s="1"/>
  <c r="G7" i="1"/>
  <c r="H7" i="1" s="1"/>
  <c r="G4" i="1"/>
  <c r="H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Copilot</author>
  </authors>
  <commentList>
    <comment ref="H4" authorId="0" shapeId="0" xr:uid="{00000000-0006-0000-0000-000001000000}">
      <text>
        <r>
          <rPr>
            <sz val="11"/>
            <color theme="1"/>
            <rFont val="Calibri"/>
            <family val="2"/>
            <scheme val="minor"/>
          </rPr>
          <t>Source: turn1search31 lines 115-131</t>
        </r>
      </text>
    </comment>
    <comment ref="H5" authorId="0" shapeId="0" xr:uid="{00000000-0006-0000-0000-000002000000}">
      <text>
        <r>
          <rPr>
            <sz val="11"/>
            <color theme="1"/>
            <rFont val="Calibri"/>
            <family val="2"/>
            <scheme val="minor"/>
          </rPr>
          <t>Source: turn1search2 PDF content from Turbonet attachment</t>
        </r>
      </text>
    </comment>
  </commentList>
</comments>
</file>

<file path=xl/sharedStrings.xml><?xml version="1.0" encoding="utf-8"?>
<sst xmlns="http://schemas.openxmlformats.org/spreadsheetml/2006/main" count="89" uniqueCount="72">
  <si>
    <t>MacBook Pro 16-inch — Final Vendor Comparison</t>
  </si>
  <si>
    <t>1 unit comparison | M5 Pro, 48GB Unified Memory, 1TB SSD | Amounts include GST</t>
  </si>
  <si>
    <t>Bottom line: Conquer Technologies LLP is the lowest quoted option at ₹388,710.00 incl. GST. Turbonet Systems Pvt. Ltd. is the next option at ₹4,089.58 more. Confirm stock availability, warranty, delivery, payment and validity before releasing the PO.</t>
  </si>
  <si>
    <t>PRICE RANKING &amp; COMMERCIAL TERMS</t>
  </si>
  <si>
    <t>Rank</t>
  </si>
  <si>
    <t>Vendor</t>
  </si>
  <si>
    <t>Grand Total Incl. GST</t>
  </si>
  <si>
    <t>Difference vs Lowest</t>
  </si>
  <si>
    <t>Commercial Terms</t>
  </si>
  <si>
    <t>Assessment / Caveat</t>
  </si>
  <si>
    <t>Conquer Technologies LLP</t>
  </si>
  <si>
    <t>1 Year Warranty | Delivery: 1 to 2 weeks; subject to OEM stock availability | Payment: Immediate | Validity: 1 week from 06-Aug-2026</t>
  </si>
  <si>
    <t>Lowest quoted total; stock and price are subject to OEM availability/policy</t>
  </si>
  <si>
    <t>Turbonet Systems Pvt. Ltd.</t>
  </si>
  <si>
    <t>Hardware warranty as mentioned in quotation | Delivery: Within 5 to 7 days from receipt of PO and payment | Payment: 100% advance against Purchase Order | Validity: Valid until 12-Aug-2026; quotation validity 7 days</t>
  </si>
  <si>
    <t>Rev-1 total reduced by ₹38,667.42; freight at actual outside Mumbai where applicable</t>
  </si>
  <si>
    <t>RH Communication</t>
  </si>
  <si>
    <t>OEM warranty; no onsite service/repair, physical damage excluded | Delivery: 8 working days from PO and payment | Payment: 100% advance with firm PO | Validity: Valid for 1 day from 31-Jul-2026</t>
  </si>
  <si>
    <t>Revised total reduced by ₹8,702.00; transport charges extra; after-sales service chargeable</t>
  </si>
  <si>
    <t>GNR Solutions</t>
  </si>
  <si>
    <t>Not clearly visible in email content | Delivery: Not clearly visible in email content | Payment: Not clearly visible in email content | Validity: Not clearly visible in email content</t>
  </si>
  <si>
    <t>Warranty, delivery, payment and validity require written confirmation</t>
  </si>
  <si>
    <t>IT World India Tech Pvt. Ltd.</t>
  </si>
  <si>
    <t>As mentioned in quotation | Delivery: 3 to 5 days from receipt of payment and PO | Payment: 100% advance with PO | Validity: Valid until 31-Jul-2026</t>
  </si>
  <si>
    <t>PDF quoted Qty 10 at ₹41,03,001.60 incl. GST; comparison normalized to 1 unit</t>
  </si>
  <si>
    <t>RECOMMENDATION</t>
  </si>
  <si>
    <t>Proceed commercially with Conquer Technologies LLP after confirming OEM stock availability and price validity in writing. If immediate payment or the 1–2 week delivery is not acceptable, Turbonet Systems Pvt. Ltd. is the next-lowest option at ₹4,089.58 more. IT World remains normalized to 1 unit because its PDF quantity is 10.</t>
  </si>
  <si>
    <t>MacBook Pro 16-inch Quote Details - 1 Qty Normalized</t>
  </si>
  <si>
    <t>Requirement: MacBook Pro 16-inch, M5 Pro chip, 48GB Unified Memory, 1TB SSD, Standard Display, 140W USB-C Power Adapter, Indian English Backlit Magic Keyboard with Touch ID</t>
  </si>
  <si>
    <t>Quote Date</t>
  </si>
  <si>
    <t>Quote Ref / Source</t>
  </si>
  <si>
    <t>Product / Part No.</t>
  </si>
  <si>
    <t>Qty</t>
  </si>
  <si>
    <t>Unit Price Excl. GST</t>
  </si>
  <si>
    <t>GST Amount</t>
  </si>
  <si>
    <t>Warranty Details</t>
  </si>
  <si>
    <t>Delivery Timeline</t>
  </si>
  <si>
    <t>Payment Terms</t>
  </si>
  <si>
    <t>Validity / Price Hold</t>
  </si>
  <si>
    <t>Status</t>
  </si>
  <si>
    <t>Notes</t>
  </si>
  <si>
    <t>29-Jul-2026</t>
  </si>
  <si>
    <t>Email quotation from Roshan GNR; formal PDF referenced</t>
  </si>
  <si>
    <t>Apple MGEC4HN/A 16-inch MacBook Pro, M5 Pro 18-core CPU/20-core GPU, 48GB, 1TB SSD, Space Black</t>
  </si>
  <si>
    <t>Not clearly visible in email content</t>
  </si>
  <si>
    <t>Comparable</t>
  </si>
  <si>
    <t>Lowest price; warranty, delivery, payment and validity require written confirmation</t>
  </si>
  <si>
    <t>Turbonet_Commercial_Knowledgeforce IT Services India_Apple Laptop_TSPL-9211_Rev-1_050826.pdf</t>
  </si>
  <si>
    <t>Hardware warranty as mentioned in quotation</t>
  </si>
  <si>
    <t>Within 5 to 7 days from receipt of PO and payment</t>
  </si>
  <si>
    <t>100% advance against Purchase Order</t>
  </si>
  <si>
    <t>Valid until 12-Aug-2026; quotation validity 7 days</t>
  </si>
  <si>
    <t>Comparable - revised quote</t>
  </si>
  <si>
    <t>RH Comm_Estimate_RHEST1441_31_07_26.pdf</t>
  </si>
  <si>
    <t>Apple MGEC4HN/A 16-inch MacBook Pro, M5 Pro 18-core CPU/20-core GPU, 48GB, 1TB SSD, 16.2-inch, 140W, Space Black</t>
  </si>
  <si>
    <t>OEM warranty; no onsite service/repair, physical damage excluded</t>
  </si>
  <si>
    <t>8 working days from PO and payment</t>
  </si>
  <si>
    <t>100% advance with firm PO</t>
  </si>
  <si>
    <t>Valid for 1 day from 31-Jul-2026</t>
  </si>
  <si>
    <t>IT_World_KforceIncMacbookpro5- 29-07-2026.pdf</t>
  </si>
  <si>
    <t>As mentioned in quotation</t>
  </si>
  <si>
    <t>3 to 5 days from receipt of payment and PO</t>
  </si>
  <si>
    <t>100% advance with PO</t>
  </si>
  <si>
    <t>Valid until 31-Jul-2026</t>
  </si>
  <si>
    <t>Comparable - normalized to 1 unit</t>
  </si>
  <si>
    <t>Comquer_Kforce Quote.pdf | Quote CONQ-MUM-SQ013136</t>
  </si>
  <si>
    <t>1 Year Warranty</t>
  </si>
  <si>
    <t>1 to 2 weeks; subject to OEM stock availability</t>
  </si>
  <si>
    <t>Immediate payment</t>
  </si>
  <si>
    <t>1 week from 06-Aug-2026</t>
  </si>
  <si>
    <t>Comparable - new quote</t>
  </si>
  <si>
    <t>Lowest quoted total; taxes exclusive in unit price and included in grand total; prices subject to OEM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</si>
</sst>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x14ac:knownFonts="1">
    <font>
      <sz val="11"/>
      <color theme="1"/>
      <name val="Calibri"/>
      <family val="2"/>
      <scheme val="minor"/>
    </font>
    <font>
      <b/>
      <sz val="11"/>
      <color rgb="FF000000"/>
      <name val="Calibri"/>
    </font>
    <font>
      <b/>
      <sz val="11"/>
      <color rgb="FFFFFFFF"/>
      <name val="Calibri"/>
      <family val="2"/>
      <scheme val="minor"/>
    </font>
    <font>
      <b/>
      <sz val="18"/>
      <color rgb="FFFFFFFF"/>
      <name val="Calibri"/>
    </font>
    <font>
      <b/>
      <sz val="18"/>
      <color rgb="FFFFFFFF"/>
      <name val="Calibri"/>
      <family val="2"/>
      <scheme val="minor"/>
    </font>
    <font>
      <i/>
      <sz val="11"/>
      <color rgb="FF555555"/>
      <name val="Calibri"/>
    </font>
    <font>
      <i/>
      <sz val="11"/>
      <color rgb="FF555555"/>
      <name val="Calibri"/>
      <family val="2"/>
      <scheme val="minor"/>
    </font>
    <font>
      <sz val="11"/>
      <color rgb="FF1F1F1F"/>
      <name val="Calibri"/>
      <family val="2"/>
      <scheme val="minor"/>
    </font>
    <font>
      <i/>
      <sz val="10"/>
      <color rgb="FF1F1F1F"/>
      <name val="Calibri"/>
      <family val="2"/>
      <scheme val="minor"/>
    </font>
    <font>
      <b/>
      <sz val="11"/>
      <color rgb="FF1F1F1F"/>
      <name val="Calibri"/>
      <family val="2"/>
      <scheme val="minor"/>
    </font>
    <font>
      <sz val="11"/>
      <color rgb="FF7F1D1D"/>
      <name val="Calibri"/>
      <family val="2"/>
      <scheme val="minor"/>
    </font>
  </fonts>
  <fills count="16">
    <fill>
      <patternFill patternType="none"/>
    </fill>
    <fill>
      <patternFill patternType="gray125"/>
    </fill>
    <fill>
      <patternFill patternType="solid">
        <fgColor rgb="FFD9EAF7"/>
      </patternFill>
    </fill>
    <fill>
      <patternFill patternType="solid">
        <fgColor rgb="FFFFF2CC"/>
      </patternFill>
    </fill>
    <fill>
      <patternFill patternType="solid">
        <fgColor rgb="FFE2F0D9"/>
      </patternFill>
    </fill>
    <fill>
      <patternFill patternType="solid">
        <fgColor rgb="FF17365D"/>
        <bgColor indexed="64"/>
      </patternFill>
    </fill>
    <fill>
      <patternFill patternType="solid">
        <fgColor rgb="FFD9EAF7"/>
        <bgColor indexed="64"/>
      </patternFill>
    </fill>
    <fill>
      <patternFill patternType="solid">
        <fgColor rgb="FFE2F0D9"/>
        <bgColor indexed="64"/>
      </patternFill>
    </fill>
    <fill>
      <patternFill patternType="solid">
        <fgColor rgb="FFFFF2CC"/>
        <bgColor indexed="64"/>
      </patternFill>
    </fill>
    <fill>
      <patternFill patternType="solid">
        <fgColor rgb="FF1F4E79"/>
        <bgColor indexed="64"/>
      </patternFill>
    </fill>
    <fill>
      <patternFill patternType="solid">
        <fgColor rgb="FFF3F6F9"/>
        <bgColor indexed="64"/>
      </patternFill>
    </fill>
    <fill>
      <patternFill patternType="solid">
        <fgColor rgb="FF2F5597"/>
        <bgColor indexed="64"/>
      </patternFill>
    </fill>
    <fill>
      <patternFill patternType="solid">
        <fgColor rgb="FFD9E2F3"/>
        <bgColor indexed="64"/>
      </patternFill>
    </fill>
    <fill>
      <patternFill patternType="solid">
        <fgColor rgb="FFF8F9FA"/>
        <bgColor indexed="64"/>
      </patternFill>
    </fill>
    <fill>
      <patternFill patternType="solid">
        <fgColor rgb="FFF2F2F2"/>
        <bgColor indexed="64"/>
      </patternFill>
    </fill>
    <fill>
      <patternFill patternType="solid">
        <fgColor rgb="FFFCE4E4"/>
        <bgColor indexed="64"/>
      </patternFill>
    </fill>
  </fills>
  <borders count="3">
    <border>
      <left/>
      <right/>
      <top/>
      <bottom/>
      <diagonal/>
    </border>
    <border>
      <left/>
      <right/>
      <top/>
      <bottom style="thin">
        <color rgb="FFD9D9D9"/>
      </bottom>
      <diagonal/>
    </border>
    <border>
      <left style="thin">
        <color auto="1"/>
      </left>
      <right style="thin">
        <color auto="1"/>
      </right>
      <top style="thin">
        <color auto="1"/>
      </top>
      <bottom style="thin">
        <color auto="1"/>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wrapText="1"/>
    </xf>
    <xf numFmtId="0" fontId="0" fillId="4" borderId="1" xfId="0" applyFill="1" applyBorder="1" applyAlignment="1">
      <alignment vertical="center" wrapText="1"/>
    </xf>
    <xf numFmtId="1" fontId="0" fillId="4" borderId="1" xfId="0" applyNumberFormat="1" applyFill="1" applyBorder="1" applyAlignment="1">
      <alignment vertical="center" wrapText="1"/>
    </xf>
    <xf numFmtId="164" fontId="0" fillId="4" borderId="1" xfId="0" applyNumberFormat="1" applyFill="1" applyBorder="1" applyAlignment="1">
      <alignment vertical="center" wrapText="1"/>
    </xf>
    <xf numFmtId="0" fontId="0" fillId="0" borderId="1" xfId="0" applyBorder="1" applyAlignment="1">
      <alignment vertical="center" wrapText="1"/>
    </xf>
    <xf numFmtId="1" fontId="0" fillId="0" borderId="1" xfId="0" applyNumberFormat="1" applyBorder="1" applyAlignment="1">
      <alignment vertical="center" wrapText="1"/>
    </xf>
    <xf numFmtId="164" fontId="0" fillId="0" borderId="1" xfId="0" applyNumberFormat="1" applyBorder="1" applyAlignment="1">
      <alignment vertical="center" wrapText="1"/>
    </xf>
    <xf numFmtId="0" fontId="0" fillId="3" borderId="1" xfId="0" applyFill="1" applyBorder="1" applyAlignment="1">
      <alignment vertical="center" wrapText="1"/>
    </xf>
    <xf numFmtId="15" fontId="0" fillId="3" borderId="1" xfId="0" applyNumberFormat="1" applyFill="1" applyBorder="1" applyAlignment="1">
      <alignment vertical="center" wrapText="1"/>
    </xf>
    <xf numFmtId="1" fontId="0" fillId="3" borderId="1" xfId="0" applyNumberFormat="1" applyFill="1" applyBorder="1" applyAlignment="1">
      <alignment vertical="center" wrapText="1"/>
    </xf>
    <xf numFmtId="164" fontId="0" fillId="3" borderId="1" xfId="0" applyNumberFormat="1" applyFill="1" applyBorder="1" applyAlignment="1">
      <alignment vertical="center" wrapText="1"/>
    </xf>
    <xf numFmtId="0" fontId="0" fillId="3" borderId="0" xfId="0" applyFill="1" applyAlignment="1">
      <alignment vertical="center" wrapText="1"/>
    </xf>
    <xf numFmtId="15" fontId="0" fillId="3" borderId="0" xfId="0" applyNumberFormat="1" applyFill="1" applyAlignment="1">
      <alignment vertical="center" wrapText="1"/>
    </xf>
    <xf numFmtId="1" fontId="0" fillId="3" borderId="0" xfId="0" applyNumberFormat="1" applyFill="1" applyAlignment="1">
      <alignment vertical="center" wrapText="1"/>
    </xf>
    <xf numFmtId="164" fontId="0" fillId="3" borderId="0" xfId="0" applyNumberFormat="1" applyFill="1" applyAlignment="1">
      <alignment vertical="center" wrapText="1"/>
    </xf>
    <xf numFmtId="15" fontId="0" fillId="0" borderId="1" xfId="0" applyNumberFormat="1" applyBorder="1" applyAlignment="1">
      <alignment vertical="center" wrapText="1"/>
    </xf>
    <xf numFmtId="164" fontId="7" fillId="8" borderId="2" xfId="0" applyNumberFormat="1" applyFont="1" applyFill="1" applyBorder="1" applyAlignment="1">
      <alignment horizontal="right" vertical="center" wrapText="1"/>
    </xf>
    <xf numFmtId="0" fontId="0" fillId="13" borderId="2" xfId="0" applyFill="1" applyBorder="1" applyAlignment="1">
      <alignment horizontal="center" vertical="center" wrapText="1"/>
    </xf>
    <xf numFmtId="0" fontId="7" fillId="13" borderId="2" xfId="0" applyFont="1" applyFill="1" applyBorder="1" applyAlignment="1">
      <alignment vertical="center" wrapText="1"/>
    </xf>
    <xf numFmtId="0" fontId="0" fillId="14" borderId="2" xfId="0" applyFill="1" applyBorder="1" applyAlignment="1">
      <alignment horizontal="center" vertical="center" wrapText="1"/>
    </xf>
    <xf numFmtId="0" fontId="7" fillId="14" borderId="2" xfId="0" applyFont="1" applyFill="1" applyBorder="1" applyAlignment="1">
      <alignment vertical="center" wrapText="1"/>
    </xf>
    <xf numFmtId="0" fontId="0" fillId="0" borderId="2" xfId="0" applyBorder="1" applyAlignment="1">
      <alignment wrapText="1"/>
    </xf>
    <xf numFmtId="0" fontId="9" fillId="12" borderId="2" xfId="0" applyFont="1" applyFill="1" applyBorder="1" applyAlignment="1">
      <alignment horizontal="center" wrapText="1"/>
    </xf>
    <xf numFmtId="0" fontId="9" fillId="7" borderId="2" xfId="0" applyFont="1" applyFill="1" applyBorder="1" applyAlignment="1">
      <alignment horizontal="center" vertical="center" wrapText="1"/>
    </xf>
    <xf numFmtId="0" fontId="9" fillId="7" borderId="2" xfId="0" applyFont="1" applyFill="1" applyBorder="1" applyAlignment="1">
      <alignment vertical="center" wrapText="1"/>
    </xf>
    <xf numFmtId="164" fontId="9" fillId="8" borderId="2" xfId="0" applyNumberFormat="1" applyFont="1" applyFill="1" applyBorder="1" applyAlignment="1">
      <alignment horizontal="right" vertical="center" wrapText="1"/>
    </xf>
    <xf numFmtId="0" fontId="0" fillId="14" borderId="2" xfId="0" applyFill="1" applyBorder="1" applyAlignment="1">
      <alignment vertical="center" wrapText="1"/>
    </xf>
    <xf numFmtId="164" fontId="0" fillId="8" borderId="2" xfId="0" applyNumberFormat="1" applyFill="1" applyBorder="1" applyAlignment="1">
      <alignment horizontal="right" vertical="center" wrapText="1"/>
    </xf>
    <xf numFmtId="0" fontId="10" fillId="15" borderId="2" xfId="0" applyFont="1" applyFill="1" applyBorder="1" applyAlignment="1">
      <alignment wrapText="1"/>
    </xf>
    <xf numFmtId="0" fontId="4" fillId="9" borderId="2" xfId="0" applyFont="1" applyFill="1" applyBorder="1" applyAlignment="1">
      <alignment wrapText="1"/>
    </xf>
    <xf numFmtId="0" fontId="8" fillId="6" borderId="2" xfId="0" applyFont="1" applyFill="1" applyBorder="1" applyAlignment="1">
      <alignment wrapText="1"/>
    </xf>
    <xf numFmtId="0" fontId="7" fillId="10" borderId="2" xfId="0" applyFont="1" applyFill="1" applyBorder="1" applyAlignment="1">
      <alignment wrapText="1"/>
    </xf>
    <xf numFmtId="0" fontId="2" fillId="11" borderId="2" xfId="0" applyFont="1" applyFill="1" applyBorder="1" applyAlignment="1">
      <alignment wrapText="1"/>
    </xf>
    <xf numFmtId="0" fontId="2" fillId="9" borderId="2" xfId="0" applyFont="1" applyFill="1" applyBorder="1" applyAlignment="1">
      <alignment wrapText="1"/>
    </xf>
    <xf numFmtId="0" fontId="5" fillId="6" borderId="0" xfId="0" applyFont="1" applyFill="1" applyAlignment="1">
      <alignment wrapText="1"/>
    </xf>
    <xf numFmtId="0" fontId="6" fillId="6" borderId="0" xfId="0" applyFont="1" applyFill="1" applyAlignment="1">
      <alignment wrapText="1"/>
    </xf>
    <xf numFmtId="0" fontId="3" fillId="5" borderId="0" xfId="0" applyFont="1" applyFill="1" applyAlignment="1">
      <alignment horizontal="center"/>
    </xf>
    <xf numFmtId="0" fontId="4" fillId="5" borderId="0" xfId="0" applyFont="1" applyFill="1"/>
  </cellXfs>
  <cellStyles count="1">
    <cellStyle name="Normal" xfId="0" builtinId="0"/>
  </cellStyles>
  <dxfs count="18">
    <dxf>
      <alignment vertical="center" wrapText="1"/>
    </dxf>
    <dxf>
      <alignment vertical="center" wrapText="1"/>
    </dxf>
    <dxf>
      <alignment vertical="center" wrapText="1"/>
    </dxf>
    <dxf>
      <alignment vertical="center" wrapText="1"/>
    </dxf>
    <dxf>
      <alignment vertical="center" wrapText="1"/>
    </dxf>
    <dxf>
      <alignment vertical="center" wrapText="1"/>
    </dxf>
    <dxf>
      <numFmt numFmtId="164" formatCode="\₹#,##0.00"/>
      <alignment vertical="center" wrapText="1"/>
    </dxf>
    <dxf>
      <numFmt numFmtId="164" formatCode="\₹#,##0.00"/>
      <alignment vertical="center" wrapText="1"/>
    </dxf>
    <dxf>
      <numFmt numFmtId="164" formatCode="\₹#,##0.00"/>
      <alignment vertical="center" wrapText="1"/>
    </dxf>
    <dxf>
      <alignment vertical="center" wrapText="1"/>
    </dxf>
    <dxf>
      <alignment vertical="center" wrapText="1"/>
    </dxf>
    <dxf>
      <alignment vertical="center" wrapText="1"/>
    </dxf>
    <dxf>
      <alignment vertical="center" wrapText="1"/>
    </dxf>
    <dxf>
      <alignment vertical="center" wrapText="1"/>
    </dxf>
    <dxf>
      <border>
        <bottom style="thin">
          <color rgb="FFD9D9D9"/>
        </bottom>
      </border>
    </dxf>
    <dxf>
      <alignment vertical="center" wrapText="1"/>
    </dxf>
    <dxf>
      <border>
        <bottom style="thin">
          <color rgb="FFD9D9D9"/>
        </bottom>
      </border>
    </dxf>
    <dxf>
      <font>
        <b/>
        <i val="0"/>
        <strike val="0"/>
        <condense val="0"/>
        <extend val="0"/>
        <outline val="0"/>
        <shadow val="0"/>
        <u val="none"/>
        <vertAlign val="baseline"/>
        <sz val="11"/>
        <color rgb="FF000000"/>
        <name val="Calibri"/>
        <scheme val="none"/>
      </font>
      <fill>
        <patternFill patternType="solid">
          <fgColor indexed="64"/>
          <bgColor rgb="FFD9EAF7"/>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Grand Total by Vendor (Incl. GST)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'Final Comparison'!$C$6</c:f>
              <c:strCache>
                <c:ptCount val="1"/>
                <c:pt idx="0">
                  <c:v>Grand Total Incl. GST</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 Comparison'!$B$7:$B$11</c:f>
              <c:strCache>
                <c:ptCount val="5"/>
                <c:pt idx="0">
                  <c:v>Conquer Technologies LLP</c:v>
                </c:pt>
                <c:pt idx="1">
                  <c:v>Turbonet Systems Pvt. Ltd.</c:v>
                </c:pt>
                <c:pt idx="2">
                  <c:v>RH Communication</c:v>
                </c:pt>
                <c:pt idx="3">
                  <c:v>GNR Solutions</c:v>
                </c:pt>
                <c:pt idx="4">
                  <c:v>IT World India Tech Pvt. Ltd.</c:v>
                </c:pt>
              </c:strCache>
            </c:strRef>
          </c:cat>
          <c:val>
            <c:numRef>
              <c:f>'Final Comparison'!$C$7:$C$11</c:f>
              <c:numCache>
                <c:formatCode>\₹#,##0.00</c:formatCode>
                <c:ptCount val="5"/>
                <c:pt idx="0">
                  <c:v>388710</c:v>
                </c:pt>
                <c:pt idx="1">
                  <c:v>392799.58</c:v>
                </c:pt>
                <c:pt idx="2">
                  <c:v>393000</c:v>
                </c:pt>
                <c:pt idx="3">
                  <c:v>393029.68</c:v>
                </c:pt>
                <c:pt idx="4">
                  <c:v>410300.15999999997</c:v>
                </c:pt>
              </c:numCache>
            </c:numRef>
          </c:val>
          <c:extLst>
            <c:ext xmlns:c16="http://schemas.microsoft.com/office/drawing/2014/chart" uri="{C3380CC4-5D6E-409C-BE32-E72D297353CC}">
              <c16:uniqueId val="{00000000-B9BA-4184-AF4E-536F7FDB62F3}"/>
            </c:ext>
          </c:extLst>
        </c:ser>
        <c:dLbls>
          <c:showLegendKey val="0"/>
          <c:showVal val="0"/>
          <c:showCatName val="0"/>
          <c:showSerName val="0"/>
          <c:showPercent val="0"/>
          <c:showBubbleSize val="0"/>
        </c:dLbls>
        <c:gapWidth val="182"/>
        <c:axId val="48964104"/>
        <c:axId val="48966152"/>
      </c:barChart>
      <c:catAx>
        <c:axId val="48964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Vendor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6152"/>
        <c:crosses val="autoZero"/>
        <c:auto val="1"/>
        <c:lblAlgn val="ctr"/>
        <c:lblOffset val="100"/>
        <c:noMultiLvlLbl val="0"/>
      </c:catAx>
      <c:valAx>
        <c:axId val="489661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Amount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64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0</xdr:rowOff>
    </xdr:from>
    <xdr:to>
      <xdr:col>6</xdr:col>
      <xdr:colOff>0</xdr:colOff>
      <xdr:row>30</xdr:row>
      <xdr:rowOff>0</xdr:rowOff>
    </xdr:to>
    <xdr:graphicFrame macro="">
      <xdr:nvGraphicFramePr>
        <xdr:cNvPr id="3" name="Vendor Total Comparison">
          <a:extLst>
            <a:ext uri="{FF2B5EF4-FFF2-40B4-BE49-F238E27FC236}">
              <a16:creationId xmlns:a16="http://schemas.microsoft.com/office/drawing/2014/main" id="{67614628-3C5C-D1A3-6B66-B194923FB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793427-B47B-4208-A4C1-3A62ED52F0F6}" name="QuoteDetailsTable" displayName="QuoteDetailsTable" ref="A3:N8" totalsRowShown="0" headerRowDxfId="17" dataDxfId="15" headerRowBorderDxfId="16" tableBorderDxfId="14">
  <autoFilter ref="A3:N8" xr:uid="{00000000-0009-0000-0000-000000000000}"/>
  <tableColumns count="14">
    <tableColumn id="1" xr3:uid="{5BE3B4A6-0D76-4ED0-AFBF-70D8F8224F13}" name="Vendor" dataDxfId="13"/>
    <tableColumn id="2" xr3:uid="{41BB1A82-A00E-4D3D-AC6D-5DE81B0202FB}" name="Quote Date" dataDxfId="12"/>
    <tableColumn id="3" xr3:uid="{70966068-0BC5-495D-B2BB-AF9DC5C45F98}" name="Quote Ref / Source" dataDxfId="11"/>
    <tableColumn id="4" xr3:uid="{F7261508-6111-428C-9209-9FECC1FCE271}" name="Product / Part No." dataDxfId="10"/>
    <tableColumn id="5" xr3:uid="{5CAE0127-018A-4EA8-A6D1-E7622F687188}" name="Qty" dataDxfId="9"/>
    <tableColumn id="6" xr3:uid="{24DD8A65-142D-4B41-8C92-5D9027923A1D}" name="Unit Price Excl. GST" dataDxfId="8"/>
    <tableColumn id="7" xr3:uid="{B65DD0EE-3786-4C19-A437-62A8469FAB46}" name="GST Amount" dataDxfId="7">
      <calculatedColumnFormula>F4*18%</calculatedColumnFormula>
    </tableColumn>
    <tableColumn id="8" xr3:uid="{DE42B790-DD2F-41D3-8A25-6868916CB612}" name="Grand Total Incl. GST" dataDxfId="6">
      <calculatedColumnFormula>IF(A4="RH Communication",ROUND(F4+G4,0),F4+G4)</calculatedColumnFormula>
    </tableColumn>
    <tableColumn id="9" xr3:uid="{92F06A2E-32EE-4110-B419-E6FFD0B5AC26}" name="Warranty Details" dataDxfId="5"/>
    <tableColumn id="10" xr3:uid="{1DCC0444-5AA8-4B96-8B36-8A3E16EE0FAD}" name="Delivery Timeline" dataDxfId="4"/>
    <tableColumn id="11" xr3:uid="{6F1AC204-8FDB-42C8-B54C-DB333BAA68E0}" name="Payment Terms" dataDxfId="3"/>
    <tableColumn id="12" xr3:uid="{AC95CD22-3734-40B0-9580-4333EDACE932}" name="Validity / Price Hold" dataDxfId="2"/>
    <tableColumn id="13" xr3:uid="{6239F7F9-2147-4FB6-8B4B-0DF1D464D211}" name="Status" dataDxfId="1"/>
    <tableColumn id="14" xr3:uid="{5D3CD9CD-5E68-4FEB-9509-CC8D859F192C}"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1F9AB-4F18-42E5-B005-39FC8EBA8C99}">
  <dimension ref="A1:F13"/>
  <sheetViews>
    <sheetView tabSelected="1" workbookViewId="0">
      <selection activeCell="A4" sqref="A4:XFD4"/>
    </sheetView>
  </sheetViews>
  <sheetFormatPr defaultRowHeight="14.5" x14ac:dyDescent="0.35"/>
  <cols>
    <col min="1" max="1" width="5.1796875" bestFit="1" customWidth="1"/>
    <col min="2" max="2" width="24.81640625" bestFit="1" customWidth="1"/>
    <col min="3" max="3" width="19.1796875" bestFit="1" customWidth="1"/>
    <col min="4" max="4" width="19" bestFit="1" customWidth="1"/>
    <col min="5" max="5" width="37.453125" bestFit="1" customWidth="1"/>
    <col min="6" max="6" width="37.54296875" bestFit="1" customWidth="1"/>
  </cols>
  <sheetData>
    <row r="1" spans="1:6" ht="23.5" x14ac:dyDescent="0.55000000000000004">
      <c r="A1" s="30" t="s">
        <v>0</v>
      </c>
      <c r="B1" s="30"/>
      <c r="C1" s="30"/>
      <c r="D1" s="30"/>
      <c r="E1" s="30"/>
      <c r="F1" s="30"/>
    </row>
    <row r="2" spans="1:6" x14ac:dyDescent="0.35">
      <c r="A2" s="31" t="s">
        <v>1</v>
      </c>
      <c r="B2" s="31"/>
      <c r="C2" s="31"/>
      <c r="D2" s="31"/>
      <c r="E2" s="31"/>
      <c r="F2" s="31"/>
    </row>
    <row r="3" spans="1:6" x14ac:dyDescent="0.35">
      <c r="A3" s="32" t="s">
        <v>2</v>
      </c>
      <c r="B3" s="32"/>
      <c r="C3" s="32"/>
      <c r="D3" s="32"/>
      <c r="E3" s="32"/>
      <c r="F3" s="32"/>
    </row>
    <row r="4" spans="1:6" x14ac:dyDescent="0.35">
      <c r="A4" s="22"/>
      <c r="B4" s="22"/>
      <c r="C4" s="22"/>
      <c r="D4" s="22"/>
      <c r="E4" s="22"/>
      <c r="F4" s="22"/>
    </row>
    <row r="5" spans="1:6" x14ac:dyDescent="0.35">
      <c r="A5" s="33" t="s">
        <v>3</v>
      </c>
      <c r="B5" s="33"/>
      <c r="C5" s="33"/>
      <c r="D5" s="33"/>
      <c r="E5" s="33"/>
      <c r="F5" s="33"/>
    </row>
    <row r="6" spans="1:6" x14ac:dyDescent="0.35">
      <c r="A6" s="23" t="s">
        <v>4</v>
      </c>
      <c r="B6" s="23" t="s">
        <v>5</v>
      </c>
      <c r="C6" s="23" t="s">
        <v>6</v>
      </c>
      <c r="D6" s="23" t="s">
        <v>7</v>
      </c>
      <c r="E6" s="23" t="s">
        <v>8</v>
      </c>
      <c r="F6" s="23" t="s">
        <v>9</v>
      </c>
    </row>
    <row r="7" spans="1:6" ht="58" x14ac:dyDescent="0.35">
      <c r="A7" s="24">
        <v>1</v>
      </c>
      <c r="B7" s="25" t="s">
        <v>10</v>
      </c>
      <c r="C7" s="26">
        <v>388710</v>
      </c>
      <c r="D7" s="26">
        <v>0</v>
      </c>
      <c r="E7" s="25" t="s">
        <v>11</v>
      </c>
      <c r="F7" s="25" t="s">
        <v>12</v>
      </c>
    </row>
    <row r="8" spans="1:6" ht="87" x14ac:dyDescent="0.35">
      <c r="A8" s="18">
        <v>2</v>
      </c>
      <c r="B8" s="19" t="s">
        <v>13</v>
      </c>
      <c r="C8" s="17">
        <v>392799.58</v>
      </c>
      <c r="D8" s="17">
        <v>4089.58</v>
      </c>
      <c r="E8" s="19" t="s">
        <v>14</v>
      </c>
      <c r="F8" s="19" t="s">
        <v>15</v>
      </c>
    </row>
    <row r="9" spans="1:6" ht="72.5" x14ac:dyDescent="0.35">
      <c r="A9" s="20">
        <v>3</v>
      </c>
      <c r="B9" s="21" t="s">
        <v>16</v>
      </c>
      <c r="C9" s="17">
        <v>393000</v>
      </c>
      <c r="D9" s="17">
        <v>4290</v>
      </c>
      <c r="E9" s="21" t="s">
        <v>17</v>
      </c>
      <c r="F9" s="21" t="s">
        <v>18</v>
      </c>
    </row>
    <row r="10" spans="1:6" ht="72.5" x14ac:dyDescent="0.35">
      <c r="A10" s="18">
        <v>4</v>
      </c>
      <c r="B10" s="19" t="s">
        <v>19</v>
      </c>
      <c r="C10" s="17">
        <v>393029.68</v>
      </c>
      <c r="D10" s="17">
        <v>4319.68</v>
      </c>
      <c r="E10" s="19" t="s">
        <v>20</v>
      </c>
      <c r="F10" s="19" t="s">
        <v>21</v>
      </c>
    </row>
    <row r="11" spans="1:6" ht="58" x14ac:dyDescent="0.35">
      <c r="A11" s="20">
        <v>5</v>
      </c>
      <c r="B11" s="27" t="s">
        <v>22</v>
      </c>
      <c r="C11" s="28">
        <v>410300.15999999997</v>
      </c>
      <c r="D11" s="28">
        <v>21590.16</v>
      </c>
      <c r="E11" s="27" t="s">
        <v>23</v>
      </c>
      <c r="F11" s="27" t="s">
        <v>24</v>
      </c>
    </row>
    <row r="12" spans="1:6" x14ac:dyDescent="0.35">
      <c r="A12" s="34" t="s">
        <v>25</v>
      </c>
      <c r="B12" s="34"/>
      <c r="C12" s="34"/>
      <c r="D12" s="34"/>
      <c r="E12" s="34"/>
      <c r="F12" s="34"/>
    </row>
    <row r="13" spans="1:6" x14ac:dyDescent="0.35">
      <c r="A13" s="29" t="s">
        <v>26</v>
      </c>
      <c r="B13" s="29"/>
      <c r="C13" s="29"/>
      <c r="D13" s="29"/>
      <c r="E13" s="29"/>
      <c r="F13" s="29"/>
    </row>
  </sheetData>
  <mergeCells count="6">
    <mergeCell ref="A13:F13"/>
    <mergeCell ref="A1:F1"/>
    <mergeCell ref="A2:F2"/>
    <mergeCell ref="A3:F3"/>
    <mergeCell ref="A5:F5"/>
    <mergeCell ref="A12:F12"/>
  </mergeCells>
  <conditionalFormatting sqref="D7:D10">
    <cfRule type="colorScale" priority="1">
      <colorScale>
        <cfvo type="min"/>
        <cfvo type="percent" val="50"/>
        <cfvo type="max"/>
        <color rgb="FFC6EFCE"/>
        <color rgb="FFFFEB9C"/>
        <color rgb="FFFFC7CE"/>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
  <sheetViews>
    <sheetView workbookViewId="0">
      <pane ySplit="3" topLeftCell="A4" activePane="bottomLeft" state="frozen"/>
      <selection pane="bottomLeft" activeCell="C4" sqref="C4"/>
    </sheetView>
  </sheetViews>
  <sheetFormatPr defaultRowHeight="14.5" x14ac:dyDescent="0.35"/>
  <cols>
    <col min="1" max="1" width="20.7265625" bestFit="1" customWidth="1"/>
    <col min="2" max="2" width="13.26953125" bestFit="1" customWidth="1"/>
    <col min="3" max="3" width="34.26953125" customWidth="1"/>
    <col min="4" max="4" width="41.81640625" customWidth="1"/>
    <col min="5" max="5" width="8.54296875" customWidth="1"/>
    <col min="6" max="7" width="18.1796875" customWidth="1"/>
    <col min="8" max="8" width="20" customWidth="1"/>
    <col min="9" max="9" width="34.26953125" customWidth="1"/>
    <col min="10" max="12" width="29.54296875" customWidth="1"/>
    <col min="13" max="13" width="21" customWidth="1"/>
    <col min="14" max="14" width="38.1796875" customWidth="1"/>
  </cols>
  <sheetData>
    <row r="1" spans="1:14" ht="32.25" customHeight="1" x14ac:dyDescent="0.55000000000000004">
      <c r="A1" s="37" t="s">
        <v>27</v>
      </c>
      <c r="B1" s="38"/>
      <c r="C1" s="38"/>
      <c r="D1" s="38"/>
      <c r="E1" s="38"/>
      <c r="F1" s="38"/>
      <c r="G1" s="38"/>
      <c r="H1" s="38"/>
      <c r="I1" s="38"/>
      <c r="J1" s="38"/>
      <c r="K1" s="38"/>
      <c r="L1" s="38"/>
      <c r="M1" s="38"/>
      <c r="N1" s="38"/>
    </row>
    <row r="2" spans="1:14" ht="32.25" customHeight="1" x14ac:dyDescent="0.35">
      <c r="A2" s="35" t="s">
        <v>28</v>
      </c>
      <c r="B2" s="36"/>
      <c r="C2" s="36"/>
      <c r="D2" s="36"/>
      <c r="E2" s="36"/>
      <c r="F2" s="36"/>
      <c r="G2" s="36"/>
      <c r="H2" s="36"/>
      <c r="I2" s="36"/>
      <c r="J2" s="36"/>
      <c r="K2" s="36"/>
      <c r="L2" s="36"/>
      <c r="M2" s="36"/>
      <c r="N2" s="36"/>
    </row>
    <row r="3" spans="1:14" x14ac:dyDescent="0.35">
      <c r="A3" s="1" t="s">
        <v>5</v>
      </c>
      <c r="B3" s="1" t="s">
        <v>29</v>
      </c>
      <c r="C3" s="1" t="s">
        <v>30</v>
      </c>
      <c r="D3" s="1" t="s">
        <v>31</v>
      </c>
      <c r="E3" s="1" t="s">
        <v>32</v>
      </c>
      <c r="F3" s="1" t="s">
        <v>33</v>
      </c>
      <c r="G3" s="1" t="s">
        <v>34</v>
      </c>
      <c r="H3" s="1" t="s">
        <v>6</v>
      </c>
      <c r="I3" s="1" t="s">
        <v>35</v>
      </c>
      <c r="J3" s="1" t="s">
        <v>36</v>
      </c>
      <c r="K3" s="1" t="s">
        <v>37</v>
      </c>
      <c r="L3" s="1" t="s">
        <v>38</v>
      </c>
      <c r="M3" s="1" t="s">
        <v>39</v>
      </c>
      <c r="N3" s="1" t="s">
        <v>40</v>
      </c>
    </row>
    <row r="4" spans="1:14" ht="43.5" x14ac:dyDescent="0.35">
      <c r="A4" s="2" t="s">
        <v>19</v>
      </c>
      <c r="B4" s="2" t="s">
        <v>41</v>
      </c>
      <c r="C4" s="2" t="s">
        <v>42</v>
      </c>
      <c r="D4" s="2" t="s">
        <v>43</v>
      </c>
      <c r="E4" s="3">
        <v>1</v>
      </c>
      <c r="F4" s="4">
        <v>333076</v>
      </c>
      <c r="G4" s="4">
        <f>F4*18%</f>
        <v>59953.68</v>
      </c>
      <c r="H4" s="4">
        <f t="shared" ref="H4:H7" si="0">IF(A4="RH Communication",ROUND(F4+G4,0),F4+G4)</f>
        <v>393029.68</v>
      </c>
      <c r="I4" s="2" t="s">
        <v>44</v>
      </c>
      <c r="J4" s="2" t="s">
        <v>44</v>
      </c>
      <c r="K4" s="2" t="s">
        <v>44</v>
      </c>
      <c r="L4" s="2" t="s">
        <v>44</v>
      </c>
      <c r="M4" s="2" t="s">
        <v>45</v>
      </c>
      <c r="N4" s="2" t="s">
        <v>46</v>
      </c>
    </row>
    <row r="5" spans="1:14" ht="43.5" x14ac:dyDescent="0.35">
      <c r="A5" s="5" t="s">
        <v>13</v>
      </c>
      <c r="B5" s="16">
        <v>46239</v>
      </c>
      <c r="C5" s="5" t="s">
        <v>47</v>
      </c>
      <c r="D5" s="5" t="s">
        <v>43</v>
      </c>
      <c r="E5" s="6">
        <v>1</v>
      </c>
      <c r="F5" s="7">
        <v>332881</v>
      </c>
      <c r="G5" s="7">
        <f>F5*18%</f>
        <v>59918.579999999994</v>
      </c>
      <c r="H5" s="7">
        <f>IF(A5="RH Communication",ROUND(F5+G5,0),F5+G5)</f>
        <v>392799.58</v>
      </c>
      <c r="I5" s="5" t="s">
        <v>48</v>
      </c>
      <c r="J5" s="5" t="s">
        <v>49</v>
      </c>
      <c r="K5" s="5" t="s">
        <v>50</v>
      </c>
      <c r="L5" s="5" t="s">
        <v>51</v>
      </c>
      <c r="M5" s="5" t="s">
        <v>52</v>
      </c>
      <c r="N5" s="5" t="s">
        <v>15</v>
      </c>
    </row>
    <row r="6" spans="1:14" ht="43.5" x14ac:dyDescent="0.35">
      <c r="A6" s="8" t="s">
        <v>16</v>
      </c>
      <c r="B6" s="9">
        <v>46234</v>
      </c>
      <c r="C6" s="8" t="s">
        <v>53</v>
      </c>
      <c r="D6" s="8" t="s">
        <v>54</v>
      </c>
      <c r="E6" s="10">
        <v>1</v>
      </c>
      <c r="F6" s="11">
        <v>333050.84999999998</v>
      </c>
      <c r="G6" s="11">
        <f>F6*18%</f>
        <v>59949.152999999991</v>
      </c>
      <c r="H6" s="11">
        <f t="shared" si="0"/>
        <v>393000</v>
      </c>
      <c r="I6" s="8" t="s">
        <v>55</v>
      </c>
      <c r="J6" s="8" t="s">
        <v>56</v>
      </c>
      <c r="K6" s="8" t="s">
        <v>57</v>
      </c>
      <c r="L6" s="8" t="s">
        <v>58</v>
      </c>
      <c r="M6" s="8" t="s">
        <v>52</v>
      </c>
      <c r="N6" s="8" t="s">
        <v>18</v>
      </c>
    </row>
    <row r="7" spans="1:14" ht="43.5" x14ac:dyDescent="0.35">
      <c r="A7" s="12" t="s">
        <v>22</v>
      </c>
      <c r="B7" s="13">
        <v>46232</v>
      </c>
      <c r="C7" s="12" t="s">
        <v>59</v>
      </c>
      <c r="D7" s="12" t="s">
        <v>43</v>
      </c>
      <c r="E7" s="14">
        <v>1</v>
      </c>
      <c r="F7" s="15">
        <v>347712</v>
      </c>
      <c r="G7" s="15">
        <f t="shared" ref="G7" si="1">F7*18%</f>
        <v>62588.159999999996</v>
      </c>
      <c r="H7" s="15">
        <f t="shared" si="0"/>
        <v>410300.15999999997</v>
      </c>
      <c r="I7" s="12" t="s">
        <v>60</v>
      </c>
      <c r="J7" s="12" t="s">
        <v>61</v>
      </c>
      <c r="K7" s="12" t="s">
        <v>62</v>
      </c>
      <c r="L7" s="12" t="s">
        <v>63</v>
      </c>
      <c r="M7" s="12" t="s">
        <v>64</v>
      </c>
      <c r="N7" s="12" t="s">
        <v>24</v>
      </c>
    </row>
    <row r="8" spans="1:14" ht="43.5" x14ac:dyDescent="0.35">
      <c r="A8" s="12" t="s">
        <v>10</v>
      </c>
      <c r="B8" s="13">
        <v>46240</v>
      </c>
      <c r="C8" s="12" t="s">
        <v>65</v>
      </c>
      <c r="D8" s="12" t="s">
        <v>43</v>
      </c>
      <c r="E8" s="14">
        <v>1</v>
      </c>
      <c r="F8" s="15">
        <v>329415</v>
      </c>
      <c r="G8" s="15">
        <v>59295</v>
      </c>
      <c r="H8" s="15">
        <v>388710</v>
      </c>
      <c r="I8" s="12" t="s">
        <v>66</v>
      </c>
      <c r="J8" s="12" t="s">
        <v>67</v>
      </c>
      <c r="K8" s="12" t="s">
        <v>68</v>
      </c>
      <c r="L8" s="12" t="s">
        <v>69</v>
      </c>
      <c r="M8" s="12" t="s">
        <v>70</v>
      </c>
      <c r="N8" s="12" t="s">
        <v>71</v>
      </c>
    </row>
    <row r="9" spans="1:14" ht="30" customHeight="1" x14ac:dyDescent="0.35"/>
    <row r="10" spans="1:14" ht="30" customHeight="1" x14ac:dyDescent="0.35"/>
    <row r="11" spans="1:14" ht="30" customHeight="1" x14ac:dyDescent="0.35"/>
    <row r="12" spans="1:14" ht="30" customHeight="1" x14ac:dyDescent="0.35"/>
    <row r="13" spans="1:14" ht="30" customHeight="1" x14ac:dyDescent="0.35"/>
  </sheetData>
  <mergeCells count="2">
    <mergeCell ref="A2:N2"/>
    <mergeCell ref="A1:N1"/>
  </mergeCells>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 Comparison</vt:lpstr>
      <vt:lpstr>Quote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Dnyaneshwar Karande</dc:creator>
  <cp:keywords/>
  <dc:description/>
  <cp:lastModifiedBy>Dnyaneshwar Karande</cp:lastModifiedBy>
  <cp:revision/>
  <dcterms:created xsi:type="dcterms:W3CDTF">2026-08-05T09:56:30Z</dcterms:created>
  <dcterms:modified xsi:type="dcterms:W3CDTF">2026-09-17T18:12:44Z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2026-08-05T09:56:31Z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dd72a2d2-8ec1-4f74-9b3a-e66f079e7fd4</vt:lpwstr>
  </property>
  <property fmtid="{D5CDD505-2E9C-101B-9397-08002B2CF9AE}" pid="7" name="MSIP_Label_defa4170-0d19-0005-0004-bc88714345d2_ActionId">
    <vt:lpwstr>e27da968-e9dc-4363-ac67-da61b32762a1</vt:lpwstr>
  </property>
  <property fmtid="{D5CDD505-2E9C-101B-9397-08002B2CF9AE}" pid="8" name="MSIP_Label_defa4170-0d19-0005-0004-bc88714345d2_ContentBits">
    <vt:lpwstr>0</vt:lpwstr>
  </property>
</Properties>
</file>